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05d20e774d00bc74/Dokumente/"/>
    </mc:Choice>
  </mc:AlternateContent>
  <xr:revisionPtr revIDLastSave="4" documentId="8_{DEF12DF3-BD7D-4F15-8B7E-075FCE4F758F}" xr6:coauthVersionLast="47" xr6:coauthVersionMax="47" xr10:uidLastSave="{AC4086F0-A06A-45FA-83F4-7CC2A0C00BD7}"/>
  <bookViews>
    <workbookView xWindow="-98" yWindow="-98" windowWidth="21795" windowHeight="12975" firstSheet="1" activeTab="3" xr2:uid="{D381218B-80C4-4A3F-A945-F28328E0352D}"/>
  </bookViews>
  <sheets>
    <sheet name="Sheet4" sheetId="4" r:id="rId1"/>
    <sheet name="Pivot Report" sheetId="1" r:id="rId2"/>
    <sheet name="Daily ER No. of patient" sheetId="3" r:id="rId3"/>
    <sheet name="Dashboard" sheetId="2" r:id="rId4"/>
    <sheet name="Satisfaction score daily trends" sheetId="6" r:id="rId5"/>
    <sheet name="Average wait time trend" sheetId="5" r:id="rId6"/>
  </sheets>
  <definedNames>
    <definedName name="ExternalData_1" localSheetId="0" hidden="1">Sheet4!$A$3:$M$302</definedName>
    <definedName name="Slicer_Date__Month">#N/A</definedName>
    <definedName name="Slicer_Date__Year">#N/A</definedName>
  </definedNames>
  <calcPr calcId="191029"/>
  <pivotCaches>
    <pivotCache cacheId="1238" r:id="rId7"/>
    <pivotCache cacheId="1239" r:id="rId8"/>
    <pivotCache cacheId="1240" r:id="rId9"/>
    <pivotCache cacheId="1241" r:id="rId10"/>
    <pivotCache cacheId="1242" r:id="rId11"/>
    <pivotCache cacheId="1243" r:id="rId12"/>
    <pivotCache cacheId="1244" r:id="rId13"/>
    <pivotCache cacheId="1245" r:id="rId14"/>
    <pivotCache cacheId="1246" r:id="rId15"/>
    <pivotCache cacheId="1247" r:id="rId16"/>
    <pivotCache cacheId="1248" r:id="rId17"/>
    <pivotCache cacheId="1249" r:id="rId18"/>
  </pivotCaches>
  <extLst>
    <ext xmlns:x14="http://schemas.microsoft.com/office/spreadsheetml/2009/9/main" uri="{876F7934-8845-4945-9796-88D515C7AA90}">
      <x14:pivotCaches>
        <pivotCache cacheId="1250" r:id="rId19"/>
        <pivotCache cacheId="125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e1e2370-9ed0-49c6-bf5e-6d84838bba26" name="Hospital Emergency Room Data" connection="Query - Hospital Emergency Room Data"/>
          <x15:modelTable id="Calendar_Table_0c94978b-1706-41e3-b3d6-df351d2c221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C45" i="1"/>
  <c r="B44" i="1"/>
  <c r="C44" i="1"/>
  <c r="A45"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E0D342-1F1D-44B6-A7BA-D674141F0154}" keepAlive="1" name="ModelConnection_ExternalData_1" description="Data Model" type="5" refreshedVersion="8" minRefreshableVersion="5" saveData="1">
    <dbPr connection="Data Model Connection" command="DRILLTHROUGH MAXROWS 1000 SELECT FROM [Model] WHERE ([Calendar_Table].[Date (Month)].&amp;[May],[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A77F1A53-758D-4B29-9E9C-C1629D3D843E}" name="Query - Calendar_Table" description="Connection to the 'Calendar_Table' query in the workbook." type="100" refreshedVersion="8" minRefreshableVersion="5">
    <extLst>
      <ext xmlns:x15="http://schemas.microsoft.com/office/spreadsheetml/2010/11/main" uri="{DE250136-89BD-433C-8126-D09CA5730AF9}">
        <x15:connection id="0b559528-e519-4c08-8761-1111c497d33a">
          <x15:oledbPr connection="Provider=Microsoft.Mashup.OleDb.1;Data Source=$Workbook$;Location=Calendar_Table;Extended Properties=&quot;&quot;">
            <x15:dbTables>
              <x15:dbTable name="Calendar_Table"/>
            </x15:dbTables>
          </x15:oledbPr>
        </x15:connection>
      </ext>
    </extLst>
  </connection>
  <connection id="3" xr16:uid="{58217E29-8C81-4A7E-9BB1-5F3915AF223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589890a-df41-4d4f-84ca-0f44b94901f7"/>
      </ext>
    </extLst>
  </connection>
  <connection id="4" xr16:uid="{211C35F0-D11F-48AC-8206-BF98C9CA2D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<sst xmlns="http://schemas.openxmlformats.org/spreadsheetml/2006/main" count="2469" uniqueCount="663">
  <si>
    <t>Distinct Count of Patient Id</t>
  </si>
  <si>
    <t>No. of patient</t>
  </si>
  <si>
    <t>Average of Patient Waittime</t>
  </si>
  <si>
    <t>Average of Patient Satisfaction Score</t>
  </si>
  <si>
    <t>Row Labels</t>
  </si>
  <si>
    <t>Grand Total</t>
  </si>
  <si>
    <t>2023</t>
  </si>
  <si>
    <t>daily trends of number of patient</t>
  </si>
  <si>
    <t>average wait 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</si>
  <si>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</si>
  <si>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</si>
  <si>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</si>
  <si>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</si>
  <si>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</si>
  <si>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</si>
  <si>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</si>
  <si>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</si>
  <si>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</si>
  <si>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</si>
  <si>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</si>
  <si>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</si>
  <si>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</si>
  <si>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792-70-4015</t>
  </si>
  <si>
    <t>M. Robinett</t>
  </si>
  <si>
    <t>Male</t>
  </si>
  <si>
    <t>White</t>
  </si>
  <si>
    <t>None</t>
  </si>
  <si>
    <t>Admitted</t>
  </si>
  <si>
    <t>60-69</t>
  </si>
  <si>
    <t>Ontime</t>
  </si>
  <si>
    <t>777-08-7046</t>
  </si>
  <si>
    <t>J. Follan</t>
  </si>
  <si>
    <t>10-19</t>
  </si>
  <si>
    <t>Delay</t>
  </si>
  <si>
    <t>601-35-8375</t>
  </si>
  <si>
    <t>G. Autrie</t>
  </si>
  <si>
    <t>40-49</t>
  </si>
  <si>
    <t>172-02-6722</t>
  </si>
  <si>
    <t>K. O'Siaghail</t>
  </si>
  <si>
    <t>50-59</t>
  </si>
  <si>
    <t>671-25-1372</t>
  </si>
  <si>
    <t>X. Lednor</t>
  </si>
  <si>
    <t>453-39-5194</t>
  </si>
  <si>
    <t>B. Daughtry</t>
  </si>
  <si>
    <t>675-04-6457</t>
  </si>
  <si>
    <t>V. Izod</t>
  </si>
  <si>
    <t>877-34-4992</t>
  </si>
  <si>
    <t>I. Guidotti</t>
  </si>
  <si>
    <t>533-96-0679</t>
  </si>
  <si>
    <t>T. Sagg</t>
  </si>
  <si>
    <t>847-74-2228</t>
  </si>
  <si>
    <t>N. Jan</t>
  </si>
  <si>
    <t>377-59-2511</t>
  </si>
  <si>
    <t>H. Topling</t>
  </si>
  <si>
    <t>Female</t>
  </si>
  <si>
    <t>0-09</t>
  </si>
  <si>
    <t>895-36-1172</t>
  </si>
  <si>
    <t>S. Lernihan</t>
  </si>
  <si>
    <t>20-29</t>
  </si>
  <si>
    <t>313-04-2804</t>
  </si>
  <si>
    <t>Q. Count</t>
  </si>
  <si>
    <t>630-12-4865</t>
  </si>
  <si>
    <t>J. Biggin</t>
  </si>
  <si>
    <t>358-50-2747</t>
  </si>
  <si>
    <t>Q. Linham</t>
  </si>
  <si>
    <t>784-71-5298</t>
  </si>
  <si>
    <t>V. Clapston</t>
  </si>
  <si>
    <t>70-79</t>
  </si>
  <si>
    <t>493-60-9445</t>
  </si>
  <si>
    <t>C. Gallear</t>
  </si>
  <si>
    <t>291-11-3500</t>
  </si>
  <si>
    <t>O. Caskey</t>
  </si>
  <si>
    <t>176-56-4968</t>
  </si>
  <si>
    <t>Y. Mulvagh</t>
  </si>
  <si>
    <t>452-78-5855</t>
  </si>
  <si>
    <t>N. Ayllett</t>
  </si>
  <si>
    <t>Not Admitted</t>
  </si>
  <si>
    <t>781-45-2775</t>
  </si>
  <si>
    <t>F. Farrin</t>
  </si>
  <si>
    <t>284-76-1097</t>
  </si>
  <si>
    <t>F. Garretts</t>
  </si>
  <si>
    <t>663-53-8750</t>
  </si>
  <si>
    <t>O. Debnam</t>
  </si>
  <si>
    <t>672-35-9516</t>
  </si>
  <si>
    <t>V. Dimitrov</t>
  </si>
  <si>
    <t>311-91-8434</t>
  </si>
  <si>
    <t>V. Kinzel</t>
  </si>
  <si>
    <t>30-39</t>
  </si>
  <si>
    <t>136-09-9416</t>
  </si>
  <si>
    <t>X. Ivanichev</t>
  </si>
  <si>
    <t>405-99-5576</t>
  </si>
  <si>
    <t>S. Lowre</t>
  </si>
  <si>
    <t>673-15-3561</t>
  </si>
  <si>
    <t>D. Stuckow</t>
  </si>
  <si>
    <t>846-66-7490</t>
  </si>
  <si>
    <t>T. Clissett</t>
  </si>
  <si>
    <t>215-53-0351</t>
  </si>
  <si>
    <t>R. Schust</t>
  </si>
  <si>
    <t>621-92-0440</t>
  </si>
  <si>
    <t>N. Weall</t>
  </si>
  <si>
    <t>375-90-1345</t>
  </si>
  <si>
    <t>E. Ibert</t>
  </si>
  <si>
    <t>625-89-1102</t>
  </si>
  <si>
    <t>J. Oehme</t>
  </si>
  <si>
    <t>363-91-7135</t>
  </si>
  <si>
    <t>N. Dugan</t>
  </si>
  <si>
    <t>542-32-4303</t>
  </si>
  <si>
    <t>Z. Barles</t>
  </si>
  <si>
    <t>746-88-5176</t>
  </si>
  <si>
    <t>V. Carncross</t>
  </si>
  <si>
    <t>African American</t>
  </si>
  <si>
    <t>539-64-9567</t>
  </si>
  <si>
    <t>S. Zimmer</t>
  </si>
  <si>
    <t>315-55-1344</t>
  </si>
  <si>
    <t>V. Kyte</t>
  </si>
  <si>
    <t>425-31-8542</t>
  </si>
  <si>
    <t>K. Louedey</t>
  </si>
  <si>
    <t>716-80-7186</t>
  </si>
  <si>
    <t>S. Venners</t>
  </si>
  <si>
    <t>711-74-2032</t>
  </si>
  <si>
    <t>G. Carruth</t>
  </si>
  <si>
    <t>304-98-5113</t>
  </si>
  <si>
    <t>H. Magwood</t>
  </si>
  <si>
    <t>829-08-9408</t>
  </si>
  <si>
    <t>N. Cranmor</t>
  </si>
  <si>
    <t>307-33-2596</t>
  </si>
  <si>
    <t>T. Trenfield</t>
  </si>
  <si>
    <t>858-73-2347</t>
  </si>
  <si>
    <t>W. Goodley</t>
  </si>
  <si>
    <t>107-25-3448</t>
  </si>
  <si>
    <t>H. Littrik</t>
  </si>
  <si>
    <t>592-07-8966</t>
  </si>
  <si>
    <t>K. Antonietti</t>
  </si>
  <si>
    <t>635-34-2598</t>
  </si>
  <si>
    <t>R. Duckham</t>
  </si>
  <si>
    <t>702-35-3828</t>
  </si>
  <si>
    <t>N. Slainey</t>
  </si>
  <si>
    <t>853-29-4524</t>
  </si>
  <si>
    <t>M. Giraux</t>
  </si>
  <si>
    <t>890-09-5805</t>
  </si>
  <si>
    <t>D. Linkie</t>
  </si>
  <si>
    <t>800-24-4809</t>
  </si>
  <si>
    <t>R. Artist</t>
  </si>
  <si>
    <t>549-67-9921</t>
  </si>
  <si>
    <t>X. Hewson</t>
  </si>
  <si>
    <t>642-51-0779</t>
  </si>
  <si>
    <t>S. Farthing</t>
  </si>
  <si>
    <t>141-03-4367</t>
  </si>
  <si>
    <t>R. Brewster</t>
  </si>
  <si>
    <t>880-76-5052</t>
  </si>
  <si>
    <t>H. Gaffon</t>
  </si>
  <si>
    <t>554-11-3057</t>
  </si>
  <si>
    <t>V. Robel</t>
  </si>
  <si>
    <t>723-85-9208</t>
  </si>
  <si>
    <t>C. Doornbos</t>
  </si>
  <si>
    <t>741-16-1016</t>
  </si>
  <si>
    <t>S. Fendley</t>
  </si>
  <si>
    <t>662-63-9509</t>
  </si>
  <si>
    <t>S. Noirel</t>
  </si>
  <si>
    <t>741-90-5657</t>
  </si>
  <si>
    <t>O. Adamovitch</t>
  </si>
  <si>
    <t>Two or More Races</t>
  </si>
  <si>
    <t>361-13-2097</t>
  </si>
  <si>
    <t>M. Sterte</t>
  </si>
  <si>
    <t>497-45-3476</t>
  </si>
  <si>
    <t>K. Zanetto</t>
  </si>
  <si>
    <t>892-94-9106</t>
  </si>
  <si>
    <t>Q. Softley</t>
  </si>
  <si>
    <t>895-94-4857</t>
  </si>
  <si>
    <t>X. Peplow</t>
  </si>
  <si>
    <t>391-08-8014</t>
  </si>
  <si>
    <t>W. Brownsall</t>
  </si>
  <si>
    <t>241-69-1762</t>
  </si>
  <si>
    <t>M. Perel</t>
  </si>
  <si>
    <t>662-15-5096</t>
  </si>
  <si>
    <t>K. Alvaro</t>
  </si>
  <si>
    <t>727-20-6876</t>
  </si>
  <si>
    <t>O. Glaum</t>
  </si>
  <si>
    <t>457-31-6371</t>
  </si>
  <si>
    <t>M. Charlot</t>
  </si>
  <si>
    <t>799-73-6211</t>
  </si>
  <si>
    <t>K. Dallin</t>
  </si>
  <si>
    <t>474-06-9276</t>
  </si>
  <si>
    <t>H. Imlach</t>
  </si>
  <si>
    <t>440-92-8721</t>
  </si>
  <si>
    <t>S. Ebbens</t>
  </si>
  <si>
    <t>723-64-4013</t>
  </si>
  <si>
    <t>I. Finnie</t>
  </si>
  <si>
    <t>467-25-9553</t>
  </si>
  <si>
    <t>V. Bisp</t>
  </si>
  <si>
    <t>688-41-9049</t>
  </si>
  <si>
    <t>Q. Westwell</t>
  </si>
  <si>
    <t>839-13-8580</t>
  </si>
  <si>
    <t>X. Barbery</t>
  </si>
  <si>
    <t>206-01-6874</t>
  </si>
  <si>
    <t>A. Ilyinykh</t>
  </si>
  <si>
    <t>742-21-9416</t>
  </si>
  <si>
    <t>K. Scapelhorn</t>
  </si>
  <si>
    <t>437-85-8690</t>
  </si>
  <si>
    <t>M. Cyseley</t>
  </si>
  <si>
    <t>812-01-1280</t>
  </si>
  <si>
    <t>J. Gon</t>
  </si>
  <si>
    <t>416-20-6906</t>
  </si>
  <si>
    <t>O. Sallarie</t>
  </si>
  <si>
    <t>818-21-7805</t>
  </si>
  <si>
    <t>Y. Lees</t>
  </si>
  <si>
    <t>720-19-1669</t>
  </si>
  <si>
    <t>N. Perrington</t>
  </si>
  <si>
    <t>Asian</t>
  </si>
  <si>
    <t>323-53-4902</t>
  </si>
  <si>
    <t>L. Le Conte</t>
  </si>
  <si>
    <t>241-87-1317</t>
  </si>
  <si>
    <t>I. Tumasian</t>
  </si>
  <si>
    <t>502-59-6868</t>
  </si>
  <si>
    <t>E. Thorold</t>
  </si>
  <si>
    <t>388-20-5957</t>
  </si>
  <si>
    <t>F. Kirkman</t>
  </si>
  <si>
    <t>829-50-2356</t>
  </si>
  <si>
    <t>F. Fearne</t>
  </si>
  <si>
    <t>731-16-3469</t>
  </si>
  <si>
    <t>V. Fanner</t>
  </si>
  <si>
    <t>531-19-9617</t>
  </si>
  <si>
    <t>J. O'Hollegan</t>
  </si>
  <si>
    <t>193-35-5764</t>
  </si>
  <si>
    <t>I. Searle</t>
  </si>
  <si>
    <t>223-48-3317</t>
  </si>
  <si>
    <t>D. Zeplin</t>
  </si>
  <si>
    <t>687-36-3981</t>
  </si>
  <si>
    <t>V. Biesty</t>
  </si>
  <si>
    <t>267-18-2904</t>
  </si>
  <si>
    <t>U. Bachelor</t>
  </si>
  <si>
    <t>191-20-3872</t>
  </si>
  <si>
    <t>G. Rabjohn</t>
  </si>
  <si>
    <t>Declined to Identify</t>
  </si>
  <si>
    <t>317-09-5665</t>
  </si>
  <si>
    <t>O. Tourot</t>
  </si>
  <si>
    <t>589-50-5696</t>
  </si>
  <si>
    <t>D. Hele</t>
  </si>
  <si>
    <t>245-30-5810</t>
  </si>
  <si>
    <t>Q. Dods</t>
  </si>
  <si>
    <t>282-75-0452</t>
  </si>
  <si>
    <t>K. Axtonne</t>
  </si>
  <si>
    <t>251-76-8762</t>
  </si>
  <si>
    <t>I. Cran</t>
  </si>
  <si>
    <t>688-36-6207</t>
  </si>
  <si>
    <t>A. Biggadyke</t>
  </si>
  <si>
    <t>156-47-1692</t>
  </si>
  <si>
    <t>G. Branton</t>
  </si>
  <si>
    <t>589-31-7830</t>
  </si>
  <si>
    <t>Z. Llewellyn</t>
  </si>
  <si>
    <t>756-52-5494</t>
  </si>
  <si>
    <t>T. Whetson</t>
  </si>
  <si>
    <t>459-36-1115</t>
  </si>
  <si>
    <t>O. Grimsditch</t>
  </si>
  <si>
    <t>235-51-3074</t>
  </si>
  <si>
    <t>E. Woollons</t>
  </si>
  <si>
    <t>Pacific Islander</t>
  </si>
  <si>
    <t>753-19-0778</t>
  </si>
  <si>
    <t>T. Spaducci</t>
  </si>
  <si>
    <t>698-81-4550</t>
  </si>
  <si>
    <t>D. Kleanthous</t>
  </si>
  <si>
    <t>456-18-0227</t>
  </si>
  <si>
    <t>O. Farryan</t>
  </si>
  <si>
    <t>664-79-4058</t>
  </si>
  <si>
    <t>R. Rosenbarg</t>
  </si>
  <si>
    <t>356-46-2421</t>
  </si>
  <si>
    <t>J. Choake</t>
  </si>
  <si>
    <t>530-81-5765</t>
  </si>
  <si>
    <t>D. Labadini</t>
  </si>
  <si>
    <t>Native American/Alaska Native</t>
  </si>
  <si>
    <t>246-59-3959</t>
  </si>
  <si>
    <t>R. Pierce</t>
  </si>
  <si>
    <t>257-54-0881</t>
  </si>
  <si>
    <t>T. Kinane</t>
  </si>
  <si>
    <t>738-79-3665</t>
  </si>
  <si>
    <t>X. Snape</t>
  </si>
  <si>
    <t>790-45-7947</t>
  </si>
  <si>
    <t>E. Wakelam</t>
  </si>
  <si>
    <t>394-92-4663</t>
  </si>
  <si>
    <t>E. Brawley</t>
  </si>
  <si>
    <t>191-56-2516</t>
  </si>
  <si>
    <t>E. Conneau</t>
  </si>
  <si>
    <t>112-20-6496</t>
  </si>
  <si>
    <t>N. Spehr</t>
  </si>
  <si>
    <t>377-04-9725</t>
  </si>
  <si>
    <t>U. Jeens</t>
  </si>
  <si>
    <t>330-18-1664</t>
  </si>
  <si>
    <t>Z. Zanni</t>
  </si>
  <si>
    <t>652-52-1081</t>
  </si>
  <si>
    <t>C. Higgoe</t>
  </si>
  <si>
    <t>437-45-4896</t>
  </si>
  <si>
    <t>W. Bockh</t>
  </si>
  <si>
    <t>753-69-2921</t>
  </si>
  <si>
    <t>T. McInerney</t>
  </si>
  <si>
    <t>General Practice</t>
  </si>
  <si>
    <t>254-67-7783</t>
  </si>
  <si>
    <t>T. Gatherell</t>
  </si>
  <si>
    <t>501-69-9067</t>
  </si>
  <si>
    <t>M. Davidoff</t>
  </si>
  <si>
    <t>716-21-5059</t>
  </si>
  <si>
    <t>F. Dosdale</t>
  </si>
  <si>
    <t>386-71-7116</t>
  </si>
  <si>
    <t>F. Meere</t>
  </si>
  <si>
    <t>107-06-8299</t>
  </si>
  <si>
    <t>D. Jeynes</t>
  </si>
  <si>
    <t>334-71-3297</t>
  </si>
  <si>
    <t>N. Cavolini</t>
  </si>
  <si>
    <t>858-25-8911</t>
  </si>
  <si>
    <t>V. Wedon</t>
  </si>
  <si>
    <t>709-58-4115</t>
  </si>
  <si>
    <t>G. Freak</t>
  </si>
  <si>
    <t>457-08-7699</t>
  </si>
  <si>
    <t>N. Shills</t>
  </si>
  <si>
    <t>418-42-2687</t>
  </si>
  <si>
    <t>E. Yendall</t>
  </si>
  <si>
    <t>528-41-4373</t>
  </si>
  <si>
    <t>Z. Corcut</t>
  </si>
  <si>
    <t>717-55-4547</t>
  </si>
  <si>
    <t>H. Abelwhite</t>
  </si>
  <si>
    <t>683-46-5079</t>
  </si>
  <si>
    <t>B. Gostridge</t>
  </si>
  <si>
    <t>119-60-4337</t>
  </si>
  <si>
    <t>D. Tenaunt</t>
  </si>
  <si>
    <t>357-79-8153</t>
  </si>
  <si>
    <t>Z. Gabbatt</t>
  </si>
  <si>
    <t>605-22-9708</t>
  </si>
  <si>
    <t>R. Mackilpatrick</t>
  </si>
  <si>
    <t>832-94-2573</t>
  </si>
  <si>
    <t>Q. Pursey</t>
  </si>
  <si>
    <t>485-52-4633</t>
  </si>
  <si>
    <t>T. Burgane</t>
  </si>
  <si>
    <t>608-99-9818</t>
  </si>
  <si>
    <t>X. Olney</t>
  </si>
  <si>
    <t>112-44-3497</t>
  </si>
  <si>
    <t>Q. Sartain</t>
  </si>
  <si>
    <t>714-30-8768</t>
  </si>
  <si>
    <t>V. Jansa</t>
  </si>
  <si>
    <t>633-24-7176</t>
  </si>
  <si>
    <t>S. Almon</t>
  </si>
  <si>
    <t>730-82-2040</t>
  </si>
  <si>
    <t>T. Becconsall</t>
  </si>
  <si>
    <t>625-15-3474</t>
  </si>
  <si>
    <t>Z. Kittles</t>
  </si>
  <si>
    <t>117-58-1255</t>
  </si>
  <si>
    <t>S. Jossel</t>
  </si>
  <si>
    <t>464-29-2369</t>
  </si>
  <si>
    <t>O. Mettrick</t>
  </si>
  <si>
    <t>193-65-5672</t>
  </si>
  <si>
    <t>Q. Clowes</t>
  </si>
  <si>
    <t>877-31-9427</t>
  </si>
  <si>
    <t>S. Prazer</t>
  </si>
  <si>
    <t>851-96-4883</t>
  </si>
  <si>
    <t>E. Mealiffe</t>
  </si>
  <si>
    <t>783-44-2077</t>
  </si>
  <si>
    <t>S. Stanesby</t>
  </si>
  <si>
    <t>649-17-7342</t>
  </si>
  <si>
    <t>D. Klossmann</t>
  </si>
  <si>
    <t>246-42-6834</t>
  </si>
  <si>
    <t>B. Birtle</t>
  </si>
  <si>
    <t>207-92-4947</t>
  </si>
  <si>
    <t>I. Dinnage</t>
  </si>
  <si>
    <t>694-42-3578</t>
  </si>
  <si>
    <t>O. Gullberg</t>
  </si>
  <si>
    <t>860-61-6074</t>
  </si>
  <si>
    <t>W. Brickstock</t>
  </si>
  <si>
    <t>608-50-7377</t>
  </si>
  <si>
    <t>S. Adnam</t>
  </si>
  <si>
    <t>828-58-5766</t>
  </si>
  <si>
    <t>O. Brockie</t>
  </si>
  <si>
    <t>122-98-5232</t>
  </si>
  <si>
    <t>C. Lambis</t>
  </si>
  <si>
    <t>275-99-2473</t>
  </si>
  <si>
    <t>X. Burgett</t>
  </si>
  <si>
    <t>227-92-6315</t>
  </si>
  <si>
    <t>M. Guillain</t>
  </si>
  <si>
    <t>282-37-3283</t>
  </si>
  <si>
    <t>S. Ruberry</t>
  </si>
  <si>
    <t>597-69-6388</t>
  </si>
  <si>
    <t>U. Madner</t>
  </si>
  <si>
    <t>763-23-4635</t>
  </si>
  <si>
    <t>Q. Occleshaw</t>
  </si>
  <si>
    <t>500-68-7748</t>
  </si>
  <si>
    <t>M. Elmhirst</t>
  </si>
  <si>
    <t>744-75-4100</t>
  </si>
  <si>
    <t>E. Brumbie</t>
  </si>
  <si>
    <t>514-16-0437</t>
  </si>
  <si>
    <t>O. Wiggin</t>
  </si>
  <si>
    <t>Orthopedics</t>
  </si>
  <si>
    <t>414-06-4445</t>
  </si>
  <si>
    <t>E. Detoc</t>
  </si>
  <si>
    <t>528-14-9097</t>
  </si>
  <si>
    <t>Y. Minchinden</t>
  </si>
  <si>
    <t>214-51-5890</t>
  </si>
  <si>
    <t>H. Swalowe</t>
  </si>
  <si>
    <t>554-45-2268</t>
  </si>
  <si>
    <t>Q. Manoelli</t>
  </si>
  <si>
    <t>770-08-4969</t>
  </si>
  <si>
    <t>N. Bidewell</t>
  </si>
  <si>
    <t>729-35-9748</t>
  </si>
  <si>
    <t>E. McCanny</t>
  </si>
  <si>
    <t>231-60-4242</t>
  </si>
  <si>
    <t>G. Sapshed</t>
  </si>
  <si>
    <t>176-93-9459</t>
  </si>
  <si>
    <t>E. Portugal</t>
  </si>
  <si>
    <t>426-96-0135</t>
  </si>
  <si>
    <t>V. Merrilees</t>
  </si>
  <si>
    <t>791-19-6812</t>
  </si>
  <si>
    <t>F. Passfield</t>
  </si>
  <si>
    <t>358-97-1063</t>
  </si>
  <si>
    <t>R. Harmer</t>
  </si>
  <si>
    <t>293-25-8403</t>
  </si>
  <si>
    <t>W. Renn</t>
  </si>
  <si>
    <t>447-48-2336</t>
  </si>
  <si>
    <t>P. Girk</t>
  </si>
  <si>
    <t>634-94-1438</t>
  </si>
  <si>
    <t>P. Baudichon</t>
  </si>
  <si>
    <t>822-88-4417</t>
  </si>
  <si>
    <t>E. Bertenshaw</t>
  </si>
  <si>
    <t>120-15-2623</t>
  </si>
  <si>
    <t>B. Subhan</t>
  </si>
  <si>
    <t>417-52-5675</t>
  </si>
  <si>
    <t>U. Kennelly</t>
  </si>
  <si>
    <t>Physiotherapy</t>
  </si>
  <si>
    <t>258-30-8092</t>
  </si>
  <si>
    <t>L. Spivie</t>
  </si>
  <si>
    <t>670-79-1251</t>
  </si>
  <si>
    <t>N. Gregolotti</t>
  </si>
  <si>
    <t>190-02-7429</t>
  </si>
  <si>
    <t>X. Semrad</t>
  </si>
  <si>
    <t>457-30-9862</t>
  </si>
  <si>
    <t>B. Larver</t>
  </si>
  <si>
    <t>557-22-1939</t>
  </si>
  <si>
    <t>J. Derricoat</t>
  </si>
  <si>
    <t>145-40-1045</t>
  </si>
  <si>
    <t>V. Prangle</t>
  </si>
  <si>
    <t>Cardiology</t>
  </si>
  <si>
    <t>806-40-9445</t>
  </si>
  <si>
    <t>X. Nias</t>
  </si>
  <si>
    <t>744-05-3065</t>
  </si>
  <si>
    <t>S. Feldstein</t>
  </si>
  <si>
    <t>863-51-9551</t>
  </si>
  <si>
    <t>D. Corrin</t>
  </si>
  <si>
    <t>856-07-9802</t>
  </si>
  <si>
    <t>P. Flukes</t>
  </si>
  <si>
    <t>Gastroenterology</t>
  </si>
  <si>
    <t>618-62-6094</t>
  </si>
  <si>
    <t>B. Shrigley</t>
  </si>
  <si>
    <t>Neurology</t>
  </si>
  <si>
    <t>605-75-8255</t>
  </si>
  <si>
    <t>E. Fernez</t>
  </si>
  <si>
    <t>676-76-4936</t>
  </si>
  <si>
    <t>N. Spino</t>
  </si>
  <si>
    <t>412-01-5770</t>
  </si>
  <si>
    <t>Z. Dummett</t>
  </si>
  <si>
    <t>540-88-7623</t>
  </si>
  <si>
    <t>T. Champney</t>
  </si>
  <si>
    <t>593-65-5206</t>
  </si>
  <si>
    <t>K. Oldcote</t>
  </si>
  <si>
    <t>630-47-2713</t>
  </si>
  <si>
    <t>P. Torbard</t>
  </si>
  <si>
    <t>556-02-6133</t>
  </si>
  <si>
    <t>Q. Coleborn</t>
  </si>
  <si>
    <t>Renal</t>
  </si>
  <si>
    <t>564-82-4273</t>
  </si>
  <si>
    <t>H. Neller</t>
  </si>
  <si>
    <t>223-51-4016</t>
  </si>
  <si>
    <t>Y. O'Dennehy</t>
  </si>
  <si>
    <t>858-06-1882</t>
  </si>
  <si>
    <t>N. Hoggan</t>
  </si>
  <si>
    <t>482-31-9677</t>
  </si>
  <si>
    <t>Z. Prott</t>
  </si>
  <si>
    <t>870-81-2711</t>
  </si>
  <si>
    <t>O. Gally</t>
  </si>
  <si>
    <t>156-93-3447</t>
  </si>
  <si>
    <t>I. Shakespear</t>
  </si>
  <si>
    <t>714-02-5849</t>
  </si>
  <si>
    <t>H. Steinhammer</t>
  </si>
  <si>
    <t>511-35-0901</t>
  </si>
  <si>
    <t>S. Dinan</t>
  </si>
  <si>
    <t>304-65-0090</t>
  </si>
  <si>
    <t>M. Caddens</t>
  </si>
  <si>
    <t>356-76-1028</t>
  </si>
  <si>
    <t>V. O'Hagerty</t>
  </si>
  <si>
    <t>250-66-4495</t>
  </si>
  <si>
    <t>V. Nabbs</t>
  </si>
  <si>
    <t>856-96-4267</t>
  </si>
  <si>
    <t>B. Ashpital</t>
  </si>
  <si>
    <t>770-69-8526</t>
  </si>
  <si>
    <t>X. Helis</t>
  </si>
  <si>
    <t>336-91-3757</t>
  </si>
  <si>
    <t>Y. Brandassi</t>
  </si>
  <si>
    <t>876-70-2288</t>
  </si>
  <si>
    <t>G. Sallery</t>
  </si>
  <si>
    <t>278-49-6531</t>
  </si>
  <si>
    <t>L. Vannacci</t>
  </si>
  <si>
    <t>301-60-9365</t>
  </si>
  <si>
    <t>J. Castelluzzi</t>
  </si>
  <si>
    <t>107-94-1465</t>
  </si>
  <si>
    <t>A. Flintoft</t>
  </si>
  <si>
    <t>513-78-9014</t>
  </si>
  <si>
    <t>Y. Clapshaw</t>
  </si>
  <si>
    <t>634-36-6673</t>
  </si>
  <si>
    <t>Q. O'Hegertie</t>
  </si>
  <si>
    <t>763-87-4222</t>
  </si>
  <si>
    <t>C. Gabbitas</t>
  </si>
  <si>
    <t>839-14-7913</t>
  </si>
  <si>
    <t>K. Liddiard</t>
  </si>
  <si>
    <t>852-35-5271</t>
  </si>
  <si>
    <t>P. Behagg</t>
  </si>
  <si>
    <t>374-08-6811</t>
  </si>
  <si>
    <t>Y. Broadis</t>
  </si>
  <si>
    <t>140-14-3156</t>
  </si>
  <si>
    <t>Q. Sweedland</t>
  </si>
  <si>
    <t>736-20-4728</t>
  </si>
  <si>
    <t>L. Danielsson</t>
  </si>
  <si>
    <t>195-28-0276</t>
  </si>
  <si>
    <t>C. Bulle</t>
  </si>
  <si>
    <t>482-47-8887</t>
  </si>
  <si>
    <t>C. Fibbit</t>
  </si>
  <si>
    <t>142-27-8439</t>
  </si>
  <si>
    <t>E. Braam</t>
  </si>
  <si>
    <t>241-64-7642</t>
  </si>
  <si>
    <t>A. Danielovitch</t>
  </si>
  <si>
    <t>748-29-8054</t>
  </si>
  <si>
    <t>C. Wollers</t>
  </si>
  <si>
    <t>557-77-2197</t>
  </si>
  <si>
    <t>C. Weir</t>
  </si>
  <si>
    <t>587-82-5849</t>
  </si>
  <si>
    <t>G. Bierling</t>
  </si>
  <si>
    <t>578-76-6120</t>
  </si>
  <si>
    <t>I. Cissell</t>
  </si>
  <si>
    <t>264-22-2247</t>
  </si>
  <si>
    <t>O. Gorhardt</t>
  </si>
  <si>
    <t>734-20-1346</t>
  </si>
  <si>
    <t>M. Gorton</t>
  </si>
  <si>
    <t>348-11-5757</t>
  </si>
  <si>
    <t>L. Gregs</t>
  </si>
  <si>
    <t>798-22-8341</t>
  </si>
  <si>
    <t>H. Weerdenburg</t>
  </si>
  <si>
    <t>509-22-5012</t>
  </si>
  <si>
    <t>P. Aggis</t>
  </si>
  <si>
    <t>768-98-4894</t>
  </si>
  <si>
    <t>U. McLarty</t>
  </si>
  <si>
    <t>749-04-9739</t>
  </si>
  <si>
    <t>G. McEvoy</t>
  </si>
  <si>
    <t>451-55-6363</t>
  </si>
  <si>
    <t>U. McEachern</t>
  </si>
  <si>
    <t>750-23-6816</t>
  </si>
  <si>
    <t>O. Knocker</t>
  </si>
  <si>
    <t>248-68-6775</t>
  </si>
  <si>
    <t>W. Matlock</t>
  </si>
  <si>
    <t>840-11-5082</t>
  </si>
  <si>
    <t>L. Wyburn</t>
  </si>
  <si>
    <t>238-61-7262</t>
  </si>
  <si>
    <t>M. Bennedsen</t>
  </si>
  <si>
    <t>808-40-7844</t>
  </si>
  <si>
    <t>S. Champniss</t>
  </si>
  <si>
    <t>816-12-1573</t>
  </si>
  <si>
    <t>W. Fee</t>
  </si>
  <si>
    <t>389-53-1872</t>
  </si>
  <si>
    <t>Z. Gockelen</t>
  </si>
  <si>
    <t>537-41-2556</t>
  </si>
  <si>
    <t>U. MacLeod</t>
  </si>
  <si>
    <t>291-27-7983</t>
  </si>
  <si>
    <t>L. Pittman</t>
  </si>
  <si>
    <t>676-15-6485</t>
  </si>
  <si>
    <t>N. Cino</t>
  </si>
  <si>
    <t>270-22-3564</t>
  </si>
  <si>
    <t>V. Swindall</t>
  </si>
  <si>
    <t>797-10-9836</t>
  </si>
  <si>
    <t>X. Greatland</t>
  </si>
  <si>
    <t>357-14-1841</t>
  </si>
  <si>
    <t>U. Binnall</t>
  </si>
  <si>
    <t>438-20-6869</t>
  </si>
  <si>
    <t>C. Pepin</t>
  </si>
  <si>
    <t>739-96-9502</t>
  </si>
  <si>
    <t>I. Helks</t>
  </si>
  <si>
    <t>200-22-3513</t>
  </si>
  <si>
    <t>O. Jansen</t>
  </si>
  <si>
    <t>316-86-7414</t>
  </si>
  <si>
    <t>T. Poynton</t>
  </si>
  <si>
    <t>296-05-6177</t>
  </si>
  <si>
    <t>H. Aylesbury</t>
  </si>
  <si>
    <t>284-29-3382</t>
  </si>
  <si>
    <t>J. Drew-Clifton</t>
  </si>
  <si>
    <t>534-52-3938</t>
  </si>
  <si>
    <t>J. Felmingham</t>
  </si>
  <si>
    <t>828-86-5241</t>
  </si>
  <si>
    <t>C. Bashford</t>
  </si>
  <si>
    <t>394-88-7661</t>
  </si>
  <si>
    <t>X. Thornborrow</t>
  </si>
  <si>
    <t>245-50-6682</t>
  </si>
  <si>
    <t>T. Mityukov</t>
  </si>
  <si>
    <t>796-21-1372</t>
  </si>
  <si>
    <t>Q. Keddie</t>
  </si>
  <si>
    <t>198-65-1159</t>
  </si>
  <si>
    <t>Z. Crake</t>
  </si>
  <si>
    <t>636-89-0732</t>
  </si>
  <si>
    <t>C. Brimacombe</t>
  </si>
  <si>
    <t>438-98-4639</t>
  </si>
  <si>
    <t>T. Pawfoot</t>
  </si>
  <si>
    <t>526-03-2526</t>
  </si>
  <si>
    <t>V. Yarr</t>
  </si>
  <si>
    <t>860-54-9346</t>
  </si>
  <si>
    <t>S. Erasmus</t>
  </si>
  <si>
    <t>363-33-8633</t>
  </si>
  <si>
    <t>O. Di Dello</t>
  </si>
  <si>
    <t>541-90-8828</t>
  </si>
  <si>
    <t>P. Stoop</t>
  </si>
  <si>
    <t>743-50-8009</t>
  </si>
  <si>
    <t>B. Wheeliker</t>
  </si>
  <si>
    <t>463-10-9391</t>
  </si>
  <si>
    <t>Q. MacKellar</t>
  </si>
  <si>
    <t>689-07-9836</t>
  </si>
  <si>
    <t>A. Latek</t>
  </si>
  <si>
    <t>370-15-0510</t>
  </si>
  <si>
    <t>G. Orniz</t>
  </si>
  <si>
    <t>731-53-2021</t>
  </si>
  <si>
    <t>B. Shah</t>
  </si>
  <si>
    <t>625-37-2390</t>
  </si>
  <si>
    <t>D. Moorcraft</t>
  </si>
  <si>
    <t>189-58-3826</t>
  </si>
  <si>
    <t>G. Alekseev</t>
  </si>
  <si>
    <t>209-66-6033</t>
  </si>
  <si>
    <t>I. D'Alessandro</t>
  </si>
  <si>
    <t>583-55-9151</t>
  </si>
  <si>
    <t>B. Jacquemet</t>
  </si>
  <si>
    <t>299-46-0910</t>
  </si>
  <si>
    <t>Y. Youtead</t>
  </si>
  <si>
    <t>781-73-2733</t>
  </si>
  <si>
    <t>E. Edgcombe</t>
  </si>
  <si>
    <t>898-70-4805</t>
  </si>
  <si>
    <t>W. Sturridge</t>
  </si>
  <si>
    <t>278-96-4501</t>
  </si>
  <si>
    <t>U. Djokic</t>
  </si>
  <si>
    <t>293-41-9295</t>
  </si>
  <si>
    <t>H. Vogt</t>
  </si>
  <si>
    <t>675-75-5119</t>
  </si>
  <si>
    <t>D. Dan</t>
  </si>
  <si>
    <t>170-53-5117</t>
  </si>
  <si>
    <t>O. Wenzel</t>
  </si>
  <si>
    <t>465-84-4385</t>
  </si>
  <si>
    <t>T. Winfield</t>
  </si>
  <si>
    <t>631-83-4544</t>
  </si>
  <si>
    <t>G. Beardsdale</t>
  </si>
  <si>
    <t>336-21-6476</t>
  </si>
  <si>
    <t>L. Benduhn</t>
  </si>
  <si>
    <t>283-49-7447</t>
  </si>
  <si>
    <t>V. Rudledge</t>
  </si>
  <si>
    <t>Data returned for Average of Patient Waittime, May (First 1000 rows).</t>
  </si>
  <si>
    <t>Use an area sparkline to track daily changes and highlight days with longer wait times that might need improvements.</t>
  </si>
  <si>
    <t>Use an area charts to show trends, spot drops in satisfaction, and link them to busy times or challenges</t>
  </si>
  <si>
    <t>satisfaction score daily</t>
  </si>
  <si>
    <t>Count of Patient Admission Flag</t>
  </si>
  <si>
    <t>Count of Patient Admission Flag2</t>
  </si>
  <si>
    <t>Admiaaion status</t>
  </si>
  <si>
    <t>% Status</t>
  </si>
  <si>
    <t>Patient</t>
  </si>
  <si>
    <t>Count of Age Group</t>
  </si>
  <si>
    <t>age group analysis</t>
  </si>
  <si>
    <t>Count of patient Attend Status</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</si>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</sst>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4" tint="0.59999389629810485"/>
      <name val="Aptos Narrow"/>
      <family val="2"/>
      <scheme val="minor"/>
    </font>
    <font>
      <sz val="17"/>
      <color rgb="FF000000"/>
      <name val="Arial"/>
      <family val="2"/>
    </font>
    <font>
      <sz val="11"/>
      <color theme="1" tint="4.9989318521683403E-2"/>
      <name val="Aptos Narrow"/>
      <family val="2"/>
      <scheme val="minor"/>
    </font>
    <font>
      <sz val="8"/>
      <color theme="1"/>
      <name val="Aptos Narrow"/>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applyAlignment="1">
      <alignment horizontal="left"/>
    </xf>
    <xf numFmtId="0" fontId="0" fillId="0" borderId="0" xfId="0" applyAlignment="1">
      <alignment horizontal="left"/>
    </xf>
    <xf numFmtId="0" fontId="0" fillId="3" borderId="0" xfId="0" applyFill="1"/>
    <xf numFmtId="0" fontId="3" fillId="3" borderId="0" xfId="0" applyFont="1" applyFill="1"/>
    <xf numFmtId="14" fontId="0" fillId="0" borderId="0" xfId="0" applyNumberFormat="1"/>
    <xf numFmtId="21" fontId="0" fillId="0" borderId="0" xfId="0" applyNumberFormat="1"/>
    <xf numFmtId="0" fontId="2" fillId="0" borderId="0" xfId="0" applyFont="1"/>
    <xf numFmtId="0" fontId="0" fillId="4" borderId="0" xfId="0" applyFill="1"/>
    <xf numFmtId="0" fontId="4" fillId="4" borderId="0" xfId="0" applyFont="1" applyFill="1"/>
    <xf numFmtId="1" fontId="0" fillId="0" borderId="0" xfId="0" applyNumberFormat="1"/>
    <xf numFmtId="10" fontId="0" fillId="0" borderId="0" xfId="0" applyNumberFormat="1"/>
    <xf numFmtId="0" fontId="0" fillId="5" borderId="0" xfId="0" applyFill="1"/>
    <xf numFmtId="9" fontId="0" fillId="5" borderId="0" xfId="1" applyFont="1" applyFill="1"/>
    <xf numFmtId="0" fontId="5" fillId="6" borderId="0" xfId="0" applyFont="1" applyFill="1" applyAlignment="1">
      <alignment horizontal="left"/>
    </xf>
    <xf numFmtId="0" fontId="5" fillId="6" borderId="0" xfId="0" applyFont="1" applyFill="1"/>
    <xf numFmtId="0" fontId="0" fillId="6" borderId="0" xfId="0" applyFill="1"/>
    <xf numFmtId="0" fontId="6" fillId="0" borderId="0" xfId="0" applyFont="1"/>
  </cellXfs>
  <cellStyles count="2">
    <cellStyle name="Normal" xfId="0" builtinId="0"/>
    <cellStyle name="Per cent" xfId="1" builtinId="5"/>
  </cellStyles>
  <dxfs count="26">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6" formatCode="h:mm:ss"/>
    </dxf>
    <dxf>
      <numFmt numFmtId="19" formatCode="m/d/yyyy"/>
    </dxf>
    <dxf>
      <font>
        <b/>
        <color theme="1"/>
      </font>
      <border>
        <bottom style="thin">
          <color theme="4"/>
        </bottom>
        <vertical/>
        <horizontal/>
      </border>
    </dxf>
    <dxf>
      <font>
        <sz val="8"/>
        <color theme="3" tint="0.89996032593768116"/>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4"/>
        </bottom>
        <vertical/>
        <horizontal/>
      </border>
    </dxf>
    <dxf>
      <font>
        <b val="0"/>
        <i val="0"/>
        <sz val="10"/>
        <color theme="3" tint="0.89996032593768116"/>
        <name val="Bookman Old Style"/>
        <family val="1"/>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3" tint="0.89996032593768116"/>
        <name val="Abadi ExtraLight"/>
        <family val="2"/>
        <scheme val="none"/>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hhhhh" pivot="0" table="0" count="10" xr9:uid="{DD8A4E6A-6F24-4DF1-992C-CC79FE992D74}">
      <tableStyleElement type="wholeTable" dxfId="25"/>
      <tableStyleElement type="headerRow" dxfId="24"/>
    </tableStyle>
    <tableStyle name="jjjjj" pivot="0" table="0" count="10" xr9:uid="{8176A735-8C17-4B44-8E8F-B5224C01B83D}">
      <tableStyleElement type="wholeTable" dxfId="23"/>
      <tableStyleElement type="headerRow" dxfId="22"/>
    </tableStyle>
    <tableStyle name="mine" pivot="0" table="0" count="10" xr9:uid="{B32426B2-A677-4C04-AE72-4F82AAC8F4C8}">
      <tableStyleElement type="wholeTable" dxfId="21"/>
      <tableStyleElement type="headerRow" dxfId="20"/>
    </tableStyle>
    <tableStyle name="Mystyle" pivot="0" table="0" count="10" xr9:uid="{D7894DCC-5BB2-4253-8E04-86E24E78A237}">
      <tableStyleElement type="wholeTable" dxfId="19"/>
      <tableStyleElement type="headerRow" dxfId="18"/>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hhhhh">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jjjjj">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in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0"/>
  </c:pivotSource>
  <c:chart>
    <c:autoTitleDeleted val="0"/>
    <c:pivotFmts>
      <c:pivotFmt>
        <c:idx val="0"/>
        <c:spPr>
          <a:solidFill>
            <a:schemeClr val="accent1"/>
          </a:solidFill>
          <a:ln w="9525" cmpd="sng">
            <a:solidFill>
              <a:schemeClr val="dk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9525" cmpd="sng">
            <a:solidFill>
              <a:schemeClr val="dk1"/>
            </a:solid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9EA06A-FABE-4376-8264-48E71E558F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w="9525" cmpd="sng">
            <a:solidFill>
              <a:schemeClr val="dk1"/>
            </a:solid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529E7A-7DA5-4886-8191-402290ACDCF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2.8096282967248497E-2"/>
          <c:y val="0.26903043696503887"/>
          <c:w val="0.88680925213641493"/>
          <c:h val="0.67050572182813106"/>
        </c:manualLayout>
      </c:layout>
      <c:barChart>
        <c:barDir val="bar"/>
        <c:grouping val="clustered"/>
        <c:varyColors val="0"/>
        <c:ser>
          <c:idx val="0"/>
          <c:order val="0"/>
          <c:tx>
            <c:strRef>
              <c:f>('Pivot Report'!$C$38,'Pivot Report'!$C$37)</c:f>
              <c:strCache>
                <c:ptCount val="1"/>
                <c:pt idx="0">
                  <c:v>Count of Patient Admission Flag</c:v>
                </c:pt>
              </c:strCache>
            </c:strRef>
          </c:tx>
          <c:spPr>
            <a:solidFill>
              <a:schemeClr val="accent1"/>
            </a:solidFill>
            <a:ln w="9525" cmpd="sng">
              <a:solidFill>
                <a:schemeClr val="dk1"/>
              </a:solidFill>
            </a:ln>
            <a:effectLst/>
          </c:spPr>
          <c:invertIfNegative val="0"/>
          <c:dPt>
            <c:idx val="0"/>
            <c:invertIfNegative val="0"/>
            <c:bubble3D val="0"/>
            <c:extLst>
              <c:ext xmlns:c16="http://schemas.microsoft.com/office/drawing/2014/chart" uri="{C3380CC4-5D6E-409C-BE32-E72D297353CC}">
                <c16:uniqueId val="{00000003-CA31-4917-AD71-87AFFC48EE09}"/>
              </c:ext>
            </c:extLst>
          </c:dPt>
          <c:dPt>
            <c:idx val="1"/>
            <c:invertIfNegative val="0"/>
            <c:bubble3D val="0"/>
            <c:extLst>
              <c:ext xmlns:c16="http://schemas.microsoft.com/office/drawing/2014/chart" uri="{C3380CC4-5D6E-409C-BE32-E72D297353CC}">
                <c16:uniqueId val="{00000004-CA31-4917-AD71-87AFFC48EE09}"/>
              </c:ext>
            </c:extLst>
          </c:dPt>
          <c:dLbls>
            <c:dLbl>
              <c:idx val="0"/>
              <c:tx>
                <c:rich>
                  <a:bodyPr/>
                  <a:lstStyle/>
                  <a:p>
                    <a:fld id="{3C9EA06A-FABE-4376-8264-48E71E558FB1}" type="CELLRANGE">
                      <a:rPr lang="en-US"/>
                      <a:pPr/>
                      <a:t>[CELLRANGE]</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A31-4917-AD71-87AFFC48EE09}"/>
                </c:ext>
              </c:extLst>
            </c:dLbl>
            <c:dLbl>
              <c:idx val="1"/>
              <c:tx>
                <c:rich>
                  <a:bodyPr/>
                  <a:lstStyle/>
                  <a:p>
                    <a:fld id="{31529E7A-7DA5-4886-8191-402290ACDCF3}" type="CELLRANGE">
                      <a:rPr lang="en-US"/>
                      <a:pPr/>
                      <a:t>[CELLRANGE]</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A31-4917-AD71-87AFFC48EE09}"/>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Report'!$C$38,'Pivot Report'!$C$37)</c:f>
              <c:strCache>
                <c:ptCount val="2"/>
                <c:pt idx="0">
                  <c:v>Admitted</c:v>
                </c:pt>
                <c:pt idx="1">
                  <c:v>Not Admitted</c:v>
                </c:pt>
              </c:strCache>
            </c:strRef>
          </c:cat>
          <c:val>
            <c:numRef>
              <c:f>('Pivot Report'!$C$38,'Pivot Report'!$C$37)</c:f>
              <c:numCache>
                <c:formatCode>0</c:formatCode>
                <c:ptCount val="2"/>
                <c:pt idx="0">
                  <c:v>64</c:v>
                </c:pt>
                <c:pt idx="1">
                  <c:v>65</c:v>
                </c:pt>
              </c:numCache>
            </c:numRef>
          </c:val>
          <c:extLst>
            <c:ext xmlns:c15="http://schemas.microsoft.com/office/drawing/2012/chart" uri="{02D57815-91ED-43cb-92C2-25804820EDAC}">
              <c15:datalabelsRange>
                <c15:f>('Pivot Report'!$C$38,'Pivot Report'!$C$37)</c15:f>
                <c15:dlblRangeCache>
                  <c:ptCount val="2"/>
                  <c:pt idx="0">
                    <c:v>50.39%</c:v>
                  </c:pt>
                  <c:pt idx="1">
                    <c:v>49.61%</c:v>
                  </c:pt>
                </c15:dlblRangeCache>
              </c15:datalabelsRange>
            </c:ext>
            <c:ext xmlns:c16="http://schemas.microsoft.com/office/drawing/2014/chart" uri="{C3380CC4-5D6E-409C-BE32-E72D297353CC}">
              <c16:uniqueId val="{00000000-CA31-4917-AD71-87AFFC48EE09}"/>
            </c:ext>
          </c:extLst>
        </c:ser>
        <c:ser>
          <c:idx val="1"/>
          <c:order val="1"/>
          <c:tx>
            <c:strRef>
              <c:f>('Pivot Report'!$C$38,'Pivot Report'!$C$37)</c:f>
              <c:strCache>
                <c:ptCount val="1"/>
                <c:pt idx="0">
                  <c:v>Count of Patient Admission Flag2</c:v>
                </c:pt>
              </c:strCache>
            </c:strRef>
          </c:tx>
          <c:spPr>
            <a:solidFill>
              <a:schemeClr val="accent2"/>
            </a:solidFill>
            <a:ln>
              <a:noFill/>
            </a:ln>
            <a:effectLst/>
          </c:spPr>
          <c:invertIfNegative val="0"/>
          <c:cat>
            <c:strRef>
              <c:f>('Pivot Report'!$C$38,'Pivot Report'!$C$37)</c:f>
              <c:strCache>
                <c:ptCount val="2"/>
                <c:pt idx="0">
                  <c:v>Admitted</c:v>
                </c:pt>
                <c:pt idx="1">
                  <c:v>Not Admitted</c:v>
                </c:pt>
              </c:strCache>
            </c:strRef>
          </c:cat>
          <c:val>
            <c:numRef>
              <c:f>('Pivot Report'!$C$38,'Pivot Report'!$C$37)</c:f>
              <c:numCache>
                <c:formatCode>0.00%</c:formatCode>
                <c:ptCount val="2"/>
                <c:pt idx="0">
                  <c:v>0.49612403100775193</c:v>
                </c:pt>
                <c:pt idx="1">
                  <c:v>0.50387596899224807</c:v>
                </c:pt>
              </c:numCache>
            </c:numRef>
          </c:val>
          <c:extLst>
            <c:ext xmlns:c16="http://schemas.microsoft.com/office/drawing/2014/chart" uri="{C3380CC4-5D6E-409C-BE32-E72D297353CC}">
              <c16:uniqueId val="{00000001-CA31-4917-AD71-87AFFC48EE09}"/>
            </c:ext>
          </c:extLst>
        </c:ser>
        <c:dLbls>
          <c:showLegendKey val="0"/>
          <c:showVal val="0"/>
          <c:showCatName val="0"/>
          <c:showSerName val="0"/>
          <c:showPercent val="0"/>
          <c:showBubbleSize val="0"/>
        </c:dLbls>
        <c:gapWidth val="92"/>
        <c:overlap val="43"/>
        <c:axId val="1661515327"/>
        <c:axId val="178482496"/>
      </c:barChart>
      <c:catAx>
        <c:axId val="1661515327"/>
        <c:scaling>
          <c:orientation val="minMax"/>
        </c:scaling>
        <c:delete val="1"/>
        <c:axPos val="l"/>
        <c:numFmt formatCode="General" sourceLinked="1"/>
        <c:majorTickMark val="none"/>
        <c:minorTickMark val="none"/>
        <c:tickLblPos val="nextTo"/>
        <c:crossAx val="178482496"/>
        <c:crosses val="autoZero"/>
        <c:auto val="1"/>
        <c:lblAlgn val="ctr"/>
        <c:lblOffset val="100"/>
        <c:noMultiLvlLbl val="0"/>
      </c:catAx>
      <c:valAx>
        <c:axId val="178482496"/>
        <c:scaling>
          <c:orientation val="minMax"/>
        </c:scaling>
        <c:delete val="1"/>
        <c:axPos val="b"/>
        <c:numFmt formatCode="0" sourceLinked="1"/>
        <c:majorTickMark val="none"/>
        <c:minorTickMark val="none"/>
        <c:tickLblPos val="nextTo"/>
        <c:crossAx val="166151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11"/>
  </c:pivotSource>
  <c:chart>
    <c:autoTitleDeleted val="0"/>
    <c:pivotFmts>
      <c:pivotFmt>
        <c:idx val="0"/>
        <c:spPr>
          <a:solidFill>
            <a:schemeClr val="accent1"/>
          </a:solidFill>
          <a:ln w="9525" cmpd="sng">
            <a:solidFill>
              <a:schemeClr val="dk1"/>
            </a:solid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9EA06A-FABE-4376-8264-48E71E558F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529E7A-7DA5-4886-8191-402290ACDCF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w="9525" cmpd="sng">
            <a:solidFill>
              <a:schemeClr val="dk1"/>
            </a:solid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9EA06A-FABE-4376-8264-48E71E558F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1529E7A-7DA5-4886-8191-402290ACDCF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mpd="sng">
            <a:solidFill>
              <a:schemeClr val="dk1"/>
            </a:solid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782766-21EA-4CCA-A1B1-256C2551622C}" type="CELLRANGE">
                  <a:rPr lang="en-US"/>
                  <a:pPr>
                    <a:defRPr>
                      <a:solidFill>
                        <a:schemeClr val="tx1">
                          <a:lumMod val="75000"/>
                          <a:lumOff val="25000"/>
                        </a:schemeClr>
                      </a:solidFill>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0"/>
        <c:spPr>
          <a:solidFill>
            <a:schemeClr val="accent1"/>
          </a:solidFill>
          <a:ln w="9525" cmpd="sng">
            <a:solidFill>
              <a:schemeClr val="dk1"/>
            </a:solid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058229-DBC6-4F8C-9F0A-827B9BAC5AE6}" type="CELLRANGE">
                  <a:rPr lang="de-DE"/>
                  <a:pPr>
                    <a:defRPr>
                      <a:solidFill>
                        <a:schemeClr val="tx1">
                          <a:lumMod val="75000"/>
                          <a:lumOff val="25000"/>
                        </a:schemeClr>
                      </a:solidFill>
                    </a:defRPr>
                  </a:pPr>
                  <a:t>[CELLRANGE]</a:t>
                </a:fld>
                <a:endParaRPr lang="de-DE"/>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96282967248497E-2"/>
          <c:y val="0.26903043696503887"/>
          <c:w val="0.88680925213641493"/>
          <c:h val="0.67050572182813106"/>
        </c:manualLayout>
      </c:layout>
      <c:barChart>
        <c:barDir val="bar"/>
        <c:grouping val="clustered"/>
        <c:varyColors val="0"/>
        <c:ser>
          <c:idx val="0"/>
          <c:order val="0"/>
          <c:tx>
            <c:strRef>
              <c:f>('Pivot Report'!$C$38,'Pivot Report'!$C$37)</c:f>
              <c:strCache>
                <c:ptCount val="1"/>
                <c:pt idx="0">
                  <c:v>Count of Patient Admission Flag</c:v>
                </c:pt>
              </c:strCache>
            </c:strRef>
          </c:tx>
          <c:spPr>
            <a:solidFill>
              <a:schemeClr val="accent1"/>
            </a:solidFill>
            <a:ln w="9525" cmpd="sng">
              <a:solidFill>
                <a:schemeClr val="dk1"/>
              </a:solidFill>
            </a:ln>
            <a:effectLst/>
          </c:spPr>
          <c:invertIfNegative val="0"/>
          <c:dPt>
            <c:idx val="0"/>
            <c:invertIfNegative val="0"/>
            <c:bubble3D val="0"/>
            <c:extLst>
              <c:ext xmlns:c16="http://schemas.microsoft.com/office/drawing/2014/chart" uri="{C3380CC4-5D6E-409C-BE32-E72D297353CC}">
                <c16:uniqueId val="{00000000-AA77-41BA-AB9A-F470BE07336E}"/>
              </c:ext>
            </c:extLst>
          </c:dPt>
          <c:dLbls>
            <c:dLbl>
              <c:idx val="0"/>
              <c:tx>
                <c:rich>
                  <a:bodyPr/>
                  <a:lstStyle/>
                  <a:p>
                    <a:fld id="{25782766-21EA-4CCA-A1B1-256C2551622C}" type="CELLRANGE">
                      <a:rPr lang="en-US"/>
                      <a:pPr/>
                      <a:t>[CELLRANGE]</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A77-41BA-AB9A-F470BE07336E}"/>
                </c:ext>
              </c:extLst>
            </c:dLbl>
            <c:dLbl>
              <c:idx val="1"/>
              <c:tx>
                <c:rich>
                  <a:bodyPr/>
                  <a:lstStyle/>
                  <a:p>
                    <a:fld id="{B9058229-DBC6-4F8C-9F0A-827B9BAC5AE6}" type="CELLRANGE">
                      <a:rPr lang="de-DE"/>
                      <a:pPr/>
                      <a:t>[CELLRANGE]</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77-41BA-AB9A-F470BE07336E}"/>
                </c:ext>
              </c:extLst>
            </c:dLbl>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Report'!$C$38,'Pivot Report'!$C$37)</c:f>
              <c:strCache>
                <c:ptCount val="2"/>
                <c:pt idx="0">
                  <c:v>Admitted</c:v>
                </c:pt>
                <c:pt idx="1">
                  <c:v>Not Admitted</c:v>
                </c:pt>
              </c:strCache>
            </c:strRef>
          </c:cat>
          <c:val>
            <c:numRef>
              <c:f>('Pivot Report'!$C$38,'Pivot Report'!$C$37)</c:f>
              <c:numCache>
                <c:formatCode>0</c:formatCode>
                <c:ptCount val="2"/>
                <c:pt idx="0">
                  <c:v>64</c:v>
                </c:pt>
                <c:pt idx="1">
                  <c:v>65</c:v>
                </c:pt>
              </c:numCache>
            </c:numRef>
          </c:val>
          <c:extLst>
            <c:ext xmlns:c15="http://schemas.microsoft.com/office/drawing/2012/chart" uri="{02D57815-91ED-43cb-92C2-25804820EDAC}">
              <c15:datalabelsRange>
                <c15:f>('Pivot Report'!$C$38,'Pivot Report'!$C$37)</c15:f>
                <c15:dlblRangeCache>
                  <c:ptCount val="2"/>
                  <c:pt idx="0">
                    <c:v>50.39%</c:v>
                  </c:pt>
                  <c:pt idx="1">
                    <c:v>49.61%</c:v>
                  </c:pt>
                </c15:dlblRangeCache>
              </c15:datalabelsRange>
            </c:ext>
            <c:ext xmlns:c16="http://schemas.microsoft.com/office/drawing/2014/chart" uri="{C3380CC4-5D6E-409C-BE32-E72D297353CC}">
              <c16:uniqueId val="{00000002-AA77-41BA-AB9A-F470BE07336E}"/>
            </c:ext>
          </c:extLst>
        </c:ser>
        <c:ser>
          <c:idx val="1"/>
          <c:order val="1"/>
          <c:tx>
            <c:strRef>
              <c:f>('Pivot Report'!$C$38,'Pivot Report'!$C$37)</c:f>
              <c:strCache>
                <c:ptCount val="1"/>
                <c:pt idx="0">
                  <c:v>Count of Patient Admission Flag2</c:v>
                </c:pt>
              </c:strCache>
            </c:strRef>
          </c:tx>
          <c:spPr>
            <a:solidFill>
              <a:schemeClr val="accent2"/>
            </a:solidFill>
            <a:ln>
              <a:noFill/>
            </a:ln>
            <a:effectLst/>
          </c:spPr>
          <c:invertIfNegative val="0"/>
          <c:cat>
            <c:strRef>
              <c:f>('Pivot Report'!$C$38,'Pivot Report'!$C$37)</c:f>
              <c:strCache>
                <c:ptCount val="2"/>
                <c:pt idx="0">
                  <c:v>Admitted</c:v>
                </c:pt>
                <c:pt idx="1">
                  <c:v>Not Admitted</c:v>
                </c:pt>
              </c:strCache>
            </c:strRef>
          </c:cat>
          <c:val>
            <c:numRef>
              <c:f>('Pivot Report'!$C$38,'Pivot Report'!$C$37)</c:f>
              <c:numCache>
                <c:formatCode>0.00%</c:formatCode>
                <c:ptCount val="2"/>
                <c:pt idx="0">
                  <c:v>0.49612403100775193</c:v>
                </c:pt>
                <c:pt idx="1">
                  <c:v>0.50387596899224807</c:v>
                </c:pt>
              </c:numCache>
            </c:numRef>
          </c:val>
          <c:extLst>
            <c:ext xmlns:c16="http://schemas.microsoft.com/office/drawing/2014/chart" uri="{C3380CC4-5D6E-409C-BE32-E72D297353CC}">
              <c16:uniqueId val="{00000003-AA77-41BA-AB9A-F470BE07336E}"/>
            </c:ext>
          </c:extLst>
        </c:ser>
        <c:dLbls>
          <c:showLegendKey val="0"/>
          <c:showVal val="0"/>
          <c:showCatName val="0"/>
          <c:showSerName val="0"/>
          <c:showPercent val="0"/>
          <c:showBubbleSize val="0"/>
        </c:dLbls>
        <c:gapWidth val="92"/>
        <c:overlap val="43"/>
        <c:axId val="1661515327"/>
        <c:axId val="178482496"/>
      </c:barChart>
      <c:catAx>
        <c:axId val="1661515327"/>
        <c:scaling>
          <c:orientation val="minMax"/>
        </c:scaling>
        <c:delete val="1"/>
        <c:axPos val="l"/>
        <c:numFmt formatCode="General" sourceLinked="1"/>
        <c:majorTickMark val="none"/>
        <c:minorTickMark val="none"/>
        <c:tickLblPos val="nextTo"/>
        <c:crossAx val="178482496"/>
        <c:crosses val="autoZero"/>
        <c:auto val="1"/>
        <c:lblAlgn val="ctr"/>
        <c:lblOffset val="100"/>
        <c:noMultiLvlLbl val="0"/>
      </c:catAx>
      <c:valAx>
        <c:axId val="178482496"/>
        <c:scaling>
          <c:orientation val="minMax"/>
        </c:scaling>
        <c:delete val="1"/>
        <c:axPos val="b"/>
        <c:numFmt formatCode="0" sourceLinked="1"/>
        <c:majorTickMark val="none"/>
        <c:minorTickMark val="none"/>
        <c:tickLblPos val="nextTo"/>
        <c:crossAx val="166151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Report'!$D$11:$D$20</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Report'!$E$11:$E$20</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0-F206-4AF5-9B51-6BBF3E9BE0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8712175"/>
        <c:axId val="1788709775"/>
      </c:areaChart>
      <c:catAx>
        <c:axId val="17887121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de-DE"/>
          </a:p>
        </c:txPr>
        <c:crossAx val="1788709775"/>
        <c:crosses val="autoZero"/>
        <c:auto val="1"/>
        <c:lblAlgn val="ctr"/>
        <c:lblOffset val="100"/>
        <c:noMultiLvlLbl val="0"/>
      </c:catAx>
      <c:valAx>
        <c:axId val="1788709775"/>
        <c:scaling>
          <c:orientation val="minMax"/>
        </c:scaling>
        <c:delete val="1"/>
        <c:axPos val="l"/>
        <c:numFmt formatCode="General" sourceLinked="1"/>
        <c:majorTickMark val="out"/>
        <c:minorTickMark val="none"/>
        <c:tickLblPos val="nextTo"/>
        <c:crossAx val="178871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de-D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82341032762359E-3"/>
          <c:y val="4.9096542450087224E-2"/>
          <c:w val="0.88610167280524565"/>
          <c:h val="0.75417956329480329"/>
        </c:manualLayout>
      </c:layout>
      <c:areaChart>
        <c:grouping val="standard"/>
        <c:varyColors val="0"/>
        <c:ser>
          <c:idx val="0"/>
          <c:order val="0"/>
          <c:tx>
            <c:strRef>
              <c:f>'Pivot Report'!$E$10</c:f>
              <c:strCache>
                <c:ptCount val="1"/>
                <c:pt idx="0">
                  <c:v>Total</c:v>
                </c:pt>
              </c:strCache>
            </c:strRef>
          </c:tx>
          <c:spPr>
            <a:solidFill>
              <a:schemeClr val="accent1"/>
            </a:solidFill>
            <a:ln>
              <a:noFill/>
            </a:ln>
            <a:effectLst/>
          </c:spPr>
          <c:cat>
            <c:strRef>
              <c:f>'Pivot Report'!$D$11:$D$20</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Report'!$E$11:$E$20</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0-BF34-4A4C-868F-46FA6433361C}"/>
            </c:ext>
          </c:extLst>
        </c:ser>
        <c:dLbls>
          <c:showLegendKey val="0"/>
          <c:showVal val="0"/>
          <c:showCatName val="0"/>
          <c:showSerName val="0"/>
          <c:showPercent val="0"/>
          <c:showBubbleSize val="0"/>
        </c:dLbls>
        <c:axId val="225412512"/>
        <c:axId val="225412992"/>
      </c:areaChart>
      <c:catAx>
        <c:axId val="225412512"/>
        <c:scaling>
          <c:orientation val="minMax"/>
        </c:scaling>
        <c:delete val="1"/>
        <c:axPos val="b"/>
        <c:numFmt formatCode="General" sourceLinked="1"/>
        <c:majorTickMark val="out"/>
        <c:minorTickMark val="none"/>
        <c:tickLblPos val="nextTo"/>
        <c:crossAx val="225412992"/>
        <c:crosses val="autoZero"/>
        <c:auto val="1"/>
        <c:lblAlgn val="ctr"/>
        <c:lblOffset val="100"/>
        <c:noMultiLvlLbl val="0"/>
      </c:catAx>
      <c:valAx>
        <c:axId val="225412992"/>
        <c:scaling>
          <c:orientation val="minMax"/>
        </c:scaling>
        <c:delete val="1"/>
        <c:axPos val="l"/>
        <c:numFmt formatCode="General" sourceLinked="1"/>
        <c:majorTickMark val="none"/>
        <c:minorTickMark val="none"/>
        <c:tickLblPos val="nextTo"/>
        <c:crossAx val="225412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6746144687696"/>
          <c:y val="0.29639557640437825"/>
          <c:w val="0.82445724051054414"/>
          <c:h val="0.53423552279311992"/>
        </c:manualLayout>
      </c:layout>
      <c:areaChart>
        <c:grouping val="standard"/>
        <c:varyColors val="0"/>
        <c:ser>
          <c:idx val="0"/>
          <c:order val="0"/>
          <c:tx>
            <c:strRef>
              <c:f>'Pivot Report'!$I$10</c:f>
              <c:strCache>
                <c:ptCount val="1"/>
                <c:pt idx="0">
                  <c:v>Total</c:v>
                </c:pt>
              </c:strCache>
            </c:strRef>
          </c:tx>
          <c:spPr>
            <a:solidFill>
              <a:schemeClr val="accent1"/>
            </a:solidFill>
            <a:ln>
              <a:noFill/>
            </a:ln>
            <a:effectLst/>
          </c:spPr>
          <c:cat>
            <c:strRef>
              <c:f>'Pivot Report'!$H$11:$H$20</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Report'!$I$11:$I$20</c:f>
              <c:numCache>
                <c:formatCode>0.00</c:formatCode>
                <c:ptCount val="9"/>
                <c:pt idx="0">
                  <c:v>29.46153846153846</c:v>
                </c:pt>
                <c:pt idx="1">
                  <c:v>34.25</c:v>
                </c:pt>
                <c:pt idx="2">
                  <c:v>34.941176470588232</c:v>
                </c:pt>
                <c:pt idx="3">
                  <c:v>32.444444444444443</c:v>
                </c:pt>
                <c:pt idx="4">
                  <c:v>38.533333333333331</c:v>
                </c:pt>
                <c:pt idx="5">
                  <c:v>34.777777777777779</c:v>
                </c:pt>
                <c:pt idx="6">
                  <c:v>33.357142857142854</c:v>
                </c:pt>
                <c:pt idx="7">
                  <c:v>28.916666666666668</c:v>
                </c:pt>
                <c:pt idx="8">
                  <c:v>35.4</c:v>
                </c:pt>
              </c:numCache>
            </c:numRef>
          </c:val>
          <c:extLst>
            <c:ext xmlns:c16="http://schemas.microsoft.com/office/drawing/2014/chart" uri="{C3380CC4-5D6E-409C-BE32-E72D297353CC}">
              <c16:uniqueId val="{00000000-3292-4703-B89D-2AEF5DEFA1FA}"/>
            </c:ext>
          </c:extLst>
        </c:ser>
        <c:dLbls>
          <c:showLegendKey val="0"/>
          <c:showVal val="0"/>
          <c:showCatName val="0"/>
          <c:showSerName val="0"/>
          <c:showPercent val="0"/>
          <c:showBubbleSize val="0"/>
        </c:dLbls>
        <c:axId val="1663695183"/>
        <c:axId val="1663678863"/>
      </c:areaChart>
      <c:catAx>
        <c:axId val="1663695183"/>
        <c:scaling>
          <c:orientation val="minMax"/>
        </c:scaling>
        <c:delete val="1"/>
        <c:axPos val="b"/>
        <c:numFmt formatCode="General" sourceLinked="1"/>
        <c:majorTickMark val="out"/>
        <c:minorTickMark val="none"/>
        <c:tickLblPos val="nextTo"/>
        <c:crossAx val="1663678863"/>
        <c:crosses val="autoZero"/>
        <c:auto val="1"/>
        <c:lblAlgn val="ctr"/>
        <c:lblOffset val="100"/>
        <c:noMultiLvlLbl val="0"/>
      </c:catAx>
      <c:valAx>
        <c:axId val="1663678863"/>
        <c:scaling>
          <c:orientation val="minMax"/>
        </c:scaling>
        <c:delete val="1"/>
        <c:axPos val="l"/>
        <c:numFmt formatCode="0.00" sourceLinked="1"/>
        <c:majorTickMark val="none"/>
        <c:minorTickMark val="none"/>
        <c:tickLblPos val="nextTo"/>
        <c:crossAx val="1663695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Report'!$N$9</c:f>
              <c:strCache>
                <c:ptCount val="1"/>
                <c:pt idx="0">
                  <c:v>Total</c:v>
                </c:pt>
              </c:strCache>
            </c:strRef>
          </c:tx>
          <c:spPr>
            <a:solidFill>
              <a:schemeClr val="accent1"/>
            </a:solidFill>
            <a:ln>
              <a:noFill/>
            </a:ln>
            <a:effectLst/>
          </c:spPr>
          <c:cat>
            <c:strRef>
              <c:f>'Pivot Report'!$M$10:$M$19</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Report'!$N$10:$N$19</c:f>
              <c:numCache>
                <c:formatCode>0.00</c:formatCode>
                <c:ptCount val="9"/>
                <c:pt idx="0">
                  <c:v>7.75</c:v>
                </c:pt>
                <c:pt idx="1">
                  <c:v>3.3333333333333335</c:v>
                </c:pt>
                <c:pt idx="2">
                  <c:v>5.333333333333333</c:v>
                </c:pt>
                <c:pt idx="3">
                  <c:v>6.5</c:v>
                </c:pt>
                <c:pt idx="4">
                  <c:v>4</c:v>
                </c:pt>
                <c:pt idx="5">
                  <c:v>5.8</c:v>
                </c:pt>
                <c:pt idx="6">
                  <c:v>3.8</c:v>
                </c:pt>
                <c:pt idx="7">
                  <c:v>4.666666666666667</c:v>
                </c:pt>
                <c:pt idx="8">
                  <c:v>4.4000000000000004</c:v>
                </c:pt>
              </c:numCache>
            </c:numRef>
          </c:val>
          <c:extLst>
            <c:ext xmlns:c16="http://schemas.microsoft.com/office/drawing/2014/chart" uri="{C3380CC4-5D6E-409C-BE32-E72D297353CC}">
              <c16:uniqueId val="{00000000-33F3-4D91-ACB7-AB51EA915D6C}"/>
            </c:ext>
          </c:extLst>
        </c:ser>
        <c:dLbls>
          <c:showLegendKey val="0"/>
          <c:showVal val="0"/>
          <c:showCatName val="0"/>
          <c:showSerName val="0"/>
          <c:showPercent val="0"/>
          <c:showBubbleSize val="0"/>
        </c:dLbls>
        <c:axId val="1720962879"/>
        <c:axId val="1418696255"/>
      </c:areaChart>
      <c:catAx>
        <c:axId val="1720962879"/>
        <c:scaling>
          <c:orientation val="minMax"/>
        </c:scaling>
        <c:delete val="1"/>
        <c:axPos val="b"/>
        <c:numFmt formatCode="General" sourceLinked="1"/>
        <c:majorTickMark val="out"/>
        <c:minorTickMark val="none"/>
        <c:tickLblPos val="nextTo"/>
        <c:crossAx val="1418696255"/>
        <c:crosses val="autoZero"/>
        <c:auto val="1"/>
        <c:lblAlgn val="ctr"/>
        <c:lblOffset val="100"/>
        <c:noMultiLvlLbl val="0"/>
      </c:catAx>
      <c:valAx>
        <c:axId val="1418696255"/>
        <c:scaling>
          <c:orientation val="minMax"/>
        </c:scaling>
        <c:delete val="1"/>
        <c:axPos val="l"/>
        <c:numFmt formatCode="0.00" sourceLinked="1"/>
        <c:majorTickMark val="none"/>
        <c:minorTickMark val="none"/>
        <c:tickLblPos val="nextTo"/>
        <c:crossAx val="1720962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0063364338961"/>
          <c:y val="6.4611834514587102E-2"/>
          <c:w val="0.87114129483814529"/>
          <c:h val="0.76314607036382298"/>
        </c:manualLayout>
      </c:layout>
      <c:barChart>
        <c:barDir val="col"/>
        <c:grouping val="clustered"/>
        <c:varyColors val="0"/>
        <c:ser>
          <c:idx val="0"/>
          <c:order val="0"/>
          <c:tx>
            <c:strRef>
              <c:f>'Pivot Report'!$F$40</c:f>
              <c:strCache>
                <c:ptCount val="1"/>
                <c:pt idx="0">
                  <c:v>Total</c:v>
                </c:pt>
              </c:strCache>
            </c:strRef>
          </c:tx>
          <c:spPr>
            <a:solidFill>
              <a:schemeClr val="accent1"/>
            </a:solidFill>
            <a:ln>
              <a:noFill/>
            </a:ln>
            <a:effectLst/>
          </c:spPr>
          <c:invertIfNegative val="0"/>
          <c:cat>
            <c:strRef>
              <c:f>'Pivot Report'!$E$41:$E$49</c:f>
              <c:strCache>
                <c:ptCount val="8"/>
                <c:pt idx="0">
                  <c:v>0-09</c:v>
                </c:pt>
                <c:pt idx="1">
                  <c:v>10-19</c:v>
                </c:pt>
                <c:pt idx="2">
                  <c:v>20-29</c:v>
                </c:pt>
                <c:pt idx="3">
                  <c:v>30-39</c:v>
                </c:pt>
                <c:pt idx="4">
                  <c:v>40-49</c:v>
                </c:pt>
                <c:pt idx="5">
                  <c:v>50-59</c:v>
                </c:pt>
                <c:pt idx="6">
                  <c:v>60-69</c:v>
                </c:pt>
                <c:pt idx="7">
                  <c:v>70-79</c:v>
                </c:pt>
              </c:strCache>
            </c:strRef>
          </c:cat>
          <c:val>
            <c:numRef>
              <c:f>'Pivot Report'!$F$41:$F$49</c:f>
              <c:numCache>
                <c:formatCode>0.00</c:formatCode>
                <c:ptCount val="8"/>
                <c:pt idx="0">
                  <c:v>13</c:v>
                </c:pt>
                <c:pt idx="1">
                  <c:v>16</c:v>
                </c:pt>
                <c:pt idx="2">
                  <c:v>20</c:v>
                </c:pt>
                <c:pt idx="3">
                  <c:v>14</c:v>
                </c:pt>
                <c:pt idx="4">
                  <c:v>20</c:v>
                </c:pt>
                <c:pt idx="5">
                  <c:v>16</c:v>
                </c:pt>
                <c:pt idx="6">
                  <c:v>15</c:v>
                </c:pt>
                <c:pt idx="7">
                  <c:v>15</c:v>
                </c:pt>
              </c:numCache>
            </c:numRef>
          </c:val>
          <c:extLst>
            <c:ext xmlns:c16="http://schemas.microsoft.com/office/drawing/2014/chart" uri="{C3380CC4-5D6E-409C-BE32-E72D297353CC}">
              <c16:uniqueId val="{00000000-4424-4720-9076-FA0C3BBBFD51}"/>
            </c:ext>
          </c:extLst>
        </c:ser>
        <c:dLbls>
          <c:showLegendKey val="0"/>
          <c:showVal val="0"/>
          <c:showCatName val="0"/>
          <c:showSerName val="0"/>
          <c:showPercent val="0"/>
          <c:showBubbleSize val="0"/>
        </c:dLbls>
        <c:gapWidth val="219"/>
        <c:overlap val="-27"/>
        <c:axId val="203967200"/>
        <c:axId val="203953760"/>
      </c:barChart>
      <c:catAx>
        <c:axId val="2039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3953760"/>
        <c:crosses val="autoZero"/>
        <c:auto val="1"/>
        <c:lblAlgn val="ctr"/>
        <c:lblOffset val="100"/>
        <c:noMultiLvlLbl val="0"/>
      </c:catAx>
      <c:valAx>
        <c:axId val="203953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396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Report!PivotTable9</c:name>
    <c:fmtId val="1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de-D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de-D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de-D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361299770324207"/>
          <c:y val="0.14764472316490346"/>
          <c:w val="0.63972845996868466"/>
          <c:h val="0.52404471231368499"/>
        </c:manualLayout>
      </c:layout>
      <c:pieChart>
        <c:varyColors val="1"/>
        <c:ser>
          <c:idx val="0"/>
          <c:order val="0"/>
          <c:tx>
            <c:strRef>
              <c:f>'Pivot Report'!$F$55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13-4C12-AE28-259406F830D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13-4C12-AE28-259406F830DF}"/>
              </c:ext>
            </c:extLst>
          </c:dPt>
          <c:dLbls>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Report'!$E$56:$E$58</c:f>
              <c:strCache>
                <c:ptCount val="2"/>
                <c:pt idx="0">
                  <c:v>Delay</c:v>
                </c:pt>
                <c:pt idx="1">
                  <c:v>Ontime</c:v>
                </c:pt>
              </c:strCache>
            </c:strRef>
          </c:cat>
          <c:val>
            <c:numRef>
              <c:f>'Pivot Report'!$F$56:$F$58</c:f>
              <c:numCache>
                <c:formatCode>0</c:formatCode>
                <c:ptCount val="2"/>
                <c:pt idx="0">
                  <c:v>77</c:v>
                </c:pt>
                <c:pt idx="1">
                  <c:v>52</c:v>
                </c:pt>
              </c:numCache>
            </c:numRef>
          </c:val>
          <c:extLst>
            <c:ext xmlns:c16="http://schemas.microsoft.com/office/drawing/2014/chart" uri="{C3380CC4-5D6E-409C-BE32-E72D297353CC}">
              <c16:uniqueId val="{00000004-6213-4C12-AE28-259406F830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7233176056369318E-2"/>
          <c:y val="4.2478550647731726E-2"/>
          <c:w val="0.80226477212744729"/>
          <c:h val="0.11727752243750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Report!PivotTable10</c:name>
    <c:fmtId val="2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500000000000001"/>
          <c:y val="0.14440836048278657"/>
          <c:w val="0.5539538495188101"/>
          <c:h val="0.59735723570175314"/>
        </c:manualLayout>
      </c:layout>
      <c:doughnutChart>
        <c:varyColors val="1"/>
        <c:ser>
          <c:idx val="0"/>
          <c:order val="0"/>
          <c:tx>
            <c:strRef>
              <c:f>'Pivot Report'!$F$63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A6-4881-9533-BF27F6F237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A6-4881-9533-BF27F6F237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Report'!$E$64:$E$66</c:f>
              <c:strCache>
                <c:ptCount val="2"/>
                <c:pt idx="0">
                  <c:v>Female</c:v>
                </c:pt>
                <c:pt idx="1">
                  <c:v>Male</c:v>
                </c:pt>
              </c:strCache>
            </c:strRef>
          </c:cat>
          <c:val>
            <c:numRef>
              <c:f>'Pivot Report'!$F$64:$F$66</c:f>
              <c:numCache>
                <c:formatCode>0.00</c:formatCode>
                <c:ptCount val="2"/>
                <c:pt idx="0">
                  <c:v>59</c:v>
                </c:pt>
                <c:pt idx="1">
                  <c:v>70</c:v>
                </c:pt>
              </c:numCache>
            </c:numRef>
          </c:val>
          <c:extLst>
            <c:ext xmlns:c16="http://schemas.microsoft.com/office/drawing/2014/chart" uri="{C3380CC4-5D6E-409C-BE32-E72D297353CC}">
              <c16:uniqueId val="{00000004-96A6-4881-9533-BF27F6F237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8450940507436573"/>
          <c:y val="5.7815689705455859E-4"/>
          <c:w val="0.43493503937007871"/>
          <c:h val="0.19219619402127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31618671922348"/>
          <c:y val="8.6471580766030967E-2"/>
          <c:w val="0.63311843453117911"/>
          <c:h val="0.81560871609703367"/>
        </c:manualLayout>
      </c:layout>
      <c:barChart>
        <c:barDir val="bar"/>
        <c:grouping val="clustered"/>
        <c:varyColors val="0"/>
        <c:ser>
          <c:idx val="0"/>
          <c:order val="0"/>
          <c:tx>
            <c:strRef>
              <c:f>'Pivot Report'!$F$71</c:f>
              <c:strCache>
                <c:ptCount val="1"/>
                <c:pt idx="0">
                  <c:v>Total</c:v>
                </c:pt>
              </c:strCache>
            </c:strRef>
          </c:tx>
          <c:spPr>
            <a:solidFill>
              <a:schemeClr val="accent1"/>
            </a:solidFill>
            <a:ln>
              <a:noFill/>
            </a:ln>
            <a:effectLst/>
          </c:spPr>
          <c:invertIfNegative val="0"/>
          <c:cat>
            <c:strRef>
              <c:f>'Pivot Report'!$E$72:$E$80</c:f>
              <c:strCache>
                <c:ptCount val="8"/>
                <c:pt idx="0">
                  <c:v>Renal</c:v>
                </c:pt>
                <c:pt idx="1">
                  <c:v>Cardiology</c:v>
                </c:pt>
                <c:pt idx="2">
                  <c:v>Neurology</c:v>
                </c:pt>
                <c:pt idx="3">
                  <c:v>Physiotherapy</c:v>
                </c:pt>
                <c:pt idx="4">
                  <c:v>Gastroenterology</c:v>
                </c:pt>
                <c:pt idx="5">
                  <c:v>Orthopedics</c:v>
                </c:pt>
                <c:pt idx="6">
                  <c:v>General Practice</c:v>
                </c:pt>
                <c:pt idx="7">
                  <c:v>None</c:v>
                </c:pt>
              </c:strCache>
            </c:strRef>
          </c:cat>
          <c:val>
            <c:numRef>
              <c:f>'Pivot Report'!$F$72:$F$80</c:f>
              <c:numCache>
                <c:formatCode>0</c:formatCode>
                <c:ptCount val="8"/>
                <c:pt idx="0">
                  <c:v>2</c:v>
                </c:pt>
                <c:pt idx="1">
                  <c:v>2</c:v>
                </c:pt>
                <c:pt idx="2">
                  <c:v>3</c:v>
                </c:pt>
                <c:pt idx="3">
                  <c:v>5</c:v>
                </c:pt>
                <c:pt idx="4">
                  <c:v>6</c:v>
                </c:pt>
                <c:pt idx="5">
                  <c:v>11</c:v>
                </c:pt>
                <c:pt idx="6">
                  <c:v>27</c:v>
                </c:pt>
                <c:pt idx="7">
                  <c:v>73</c:v>
                </c:pt>
              </c:numCache>
            </c:numRef>
          </c:val>
          <c:extLst>
            <c:ext xmlns:c16="http://schemas.microsoft.com/office/drawing/2014/chart" uri="{C3380CC4-5D6E-409C-BE32-E72D297353CC}">
              <c16:uniqueId val="{00000000-C076-4D9B-ACBE-345EAC8DD6AD}"/>
            </c:ext>
          </c:extLst>
        </c:ser>
        <c:dLbls>
          <c:showLegendKey val="0"/>
          <c:showVal val="0"/>
          <c:showCatName val="0"/>
          <c:showSerName val="0"/>
          <c:showPercent val="0"/>
          <c:showBubbleSize val="0"/>
        </c:dLbls>
        <c:gapWidth val="182"/>
        <c:axId val="447621504"/>
        <c:axId val="447619104"/>
      </c:barChart>
      <c:catAx>
        <c:axId val="44762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47619104"/>
        <c:crosses val="autoZero"/>
        <c:auto val="1"/>
        <c:lblAlgn val="ctr"/>
        <c:lblOffset val="100"/>
        <c:noMultiLvlLbl val="0"/>
      </c:catAx>
      <c:valAx>
        <c:axId val="4476191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4762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Report'!$M$10:$M$19</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Report'!$N$10:$N$19</c:f>
              <c:numCache>
                <c:formatCode>0.00</c:formatCode>
                <c:ptCount val="9"/>
                <c:pt idx="0">
                  <c:v>7.75</c:v>
                </c:pt>
                <c:pt idx="1">
                  <c:v>3.3333333333333335</c:v>
                </c:pt>
                <c:pt idx="2">
                  <c:v>5.333333333333333</c:v>
                </c:pt>
                <c:pt idx="3">
                  <c:v>6.5</c:v>
                </c:pt>
                <c:pt idx="4">
                  <c:v>4</c:v>
                </c:pt>
                <c:pt idx="5">
                  <c:v>5.8</c:v>
                </c:pt>
                <c:pt idx="6">
                  <c:v>3.8</c:v>
                </c:pt>
                <c:pt idx="7">
                  <c:v>4.666666666666667</c:v>
                </c:pt>
                <c:pt idx="8">
                  <c:v>4.4000000000000004</c:v>
                </c:pt>
              </c:numCache>
            </c:numRef>
          </c:val>
          <c:extLst>
            <c:ext xmlns:c16="http://schemas.microsoft.com/office/drawing/2014/chart" uri="{C3380CC4-5D6E-409C-BE32-E72D297353CC}">
              <c16:uniqueId val="{00000001-BC7F-457B-A584-B842A8FFCF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20962879"/>
        <c:axId val="1418696255"/>
      </c:areaChart>
      <c:catAx>
        <c:axId val="17209628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de-DE"/>
          </a:p>
        </c:txPr>
        <c:crossAx val="1418696255"/>
        <c:crosses val="autoZero"/>
        <c:auto val="1"/>
        <c:lblAlgn val="ctr"/>
        <c:lblOffset val="100"/>
        <c:noMultiLvlLbl val="0"/>
      </c:catAx>
      <c:valAx>
        <c:axId val="1418696255"/>
        <c:scaling>
          <c:orientation val="minMax"/>
        </c:scaling>
        <c:delete val="1"/>
        <c:axPos val="l"/>
        <c:numFmt formatCode="0.00" sourceLinked="1"/>
        <c:majorTickMark val="out"/>
        <c:minorTickMark val="none"/>
        <c:tickLblPos val="nextTo"/>
        <c:crossAx val="1720962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Report'!$H$11:$H$20</c:f>
              <c:strCache>
                <c:ptCount val="9"/>
                <c:pt idx="0">
                  <c:v>2/4/2023</c:v>
                </c:pt>
                <c:pt idx="1">
                  <c:v>2/5/2023</c:v>
                </c:pt>
                <c:pt idx="2">
                  <c:v>2/6/2023</c:v>
                </c:pt>
                <c:pt idx="3">
                  <c:v>2/7/2023</c:v>
                </c:pt>
                <c:pt idx="4">
                  <c:v>2/8/2023</c:v>
                </c:pt>
                <c:pt idx="5">
                  <c:v>2/9/2023</c:v>
                </c:pt>
                <c:pt idx="6">
                  <c:v>2/10/2023</c:v>
                </c:pt>
                <c:pt idx="7">
                  <c:v>2/11/2023</c:v>
                </c:pt>
                <c:pt idx="8">
                  <c:v>2/12/2023</c:v>
                </c:pt>
              </c:strCache>
            </c:strRef>
          </c:cat>
          <c:val>
            <c:numRef>
              <c:f>'Pivot Report'!$I$11:$I$20</c:f>
              <c:numCache>
                <c:formatCode>0.00</c:formatCode>
                <c:ptCount val="9"/>
                <c:pt idx="0">
                  <c:v>29.46153846153846</c:v>
                </c:pt>
                <c:pt idx="1">
                  <c:v>34.25</c:v>
                </c:pt>
                <c:pt idx="2">
                  <c:v>34.941176470588232</c:v>
                </c:pt>
                <c:pt idx="3">
                  <c:v>32.444444444444443</c:v>
                </c:pt>
                <c:pt idx="4">
                  <c:v>38.533333333333331</c:v>
                </c:pt>
                <c:pt idx="5">
                  <c:v>34.777777777777779</c:v>
                </c:pt>
                <c:pt idx="6">
                  <c:v>33.357142857142854</c:v>
                </c:pt>
                <c:pt idx="7">
                  <c:v>28.916666666666668</c:v>
                </c:pt>
                <c:pt idx="8">
                  <c:v>35.4</c:v>
                </c:pt>
              </c:numCache>
            </c:numRef>
          </c:val>
          <c:extLst>
            <c:ext xmlns:c16="http://schemas.microsoft.com/office/drawing/2014/chart" uri="{C3380CC4-5D6E-409C-BE32-E72D297353CC}">
              <c16:uniqueId val="{00000000-33D5-45D5-B199-F2ACDAB5494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63695183"/>
        <c:axId val="1663678863"/>
      </c:areaChart>
      <c:catAx>
        <c:axId val="16636951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de-DE"/>
          </a:p>
        </c:txPr>
        <c:crossAx val="1663678863"/>
        <c:crosses val="autoZero"/>
        <c:auto val="1"/>
        <c:lblAlgn val="ctr"/>
        <c:lblOffset val="100"/>
        <c:noMultiLvlLbl val="0"/>
      </c:catAx>
      <c:valAx>
        <c:axId val="1663678863"/>
        <c:scaling>
          <c:orientation val="minMax"/>
        </c:scaling>
        <c:delete val="1"/>
        <c:axPos val="l"/>
        <c:numFmt formatCode="0.00" sourceLinked="1"/>
        <c:majorTickMark val="out"/>
        <c:minorTickMark val="none"/>
        <c:tickLblPos val="nextTo"/>
        <c:crossAx val="1663695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de-D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s'!A1"/><Relationship Id="rId17" Type="http://schemas.openxmlformats.org/officeDocument/2006/relationships/chart" Target="../charts/chart9.xml"/><Relationship Id="rId2" Type="http://schemas.openxmlformats.org/officeDocument/2006/relationships/image" Target="../media/image4.png"/><Relationship Id="rId16"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5.xml"/><Relationship Id="rId5" Type="http://schemas.openxmlformats.org/officeDocument/2006/relationships/image" Target="../media/image7.svg"/><Relationship Id="rId15" Type="http://schemas.openxmlformats.org/officeDocument/2006/relationships/chart" Target="../charts/chart7.xml"/><Relationship Id="rId10" Type="http://schemas.openxmlformats.org/officeDocument/2006/relationships/hyperlink" Target="#'Average wait time'!A1"/><Relationship Id="rId4" Type="http://schemas.openxmlformats.org/officeDocument/2006/relationships/image" Target="../media/image6.png"/><Relationship Id="rId9" Type="http://schemas.openxmlformats.org/officeDocument/2006/relationships/chart" Target="../charts/chart4.xml"/><Relationship Id="rId1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2204662</xdr:colOff>
      <xdr:row>42</xdr:row>
      <xdr:rowOff>90970</xdr:rowOff>
    </xdr:from>
    <xdr:to>
      <xdr:col>3</xdr:col>
      <xdr:colOff>2044128</xdr:colOff>
      <xdr:row>45</xdr:row>
      <xdr:rowOff>5352</xdr:rowOff>
    </xdr:to>
    <xdr:graphicFrame macro="">
      <xdr:nvGraphicFramePr>
        <xdr:cNvPr id="8" name="Chart 7">
          <a:extLst>
            <a:ext uri="{FF2B5EF4-FFF2-40B4-BE49-F238E27FC236}">
              <a16:creationId xmlns:a16="http://schemas.microsoft.com/office/drawing/2014/main" id="{48409FA2-85DE-C939-BE7A-4EDEBEEF1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2204662</xdr:colOff>
      <xdr:row>57</xdr:row>
      <xdr:rowOff>90970</xdr:rowOff>
    </xdr:from>
    <xdr:to>
      <xdr:col>3</xdr:col>
      <xdr:colOff>2044128</xdr:colOff>
      <xdr:row>60</xdr:row>
      <xdr:rowOff>5352</xdr:rowOff>
    </xdr:to>
    <xdr:graphicFrame macro="">
      <xdr:nvGraphicFramePr>
        <xdr:cNvPr id="10" name="Chart 9">
          <a:extLst>
            <a:ext uri="{FF2B5EF4-FFF2-40B4-BE49-F238E27FC236}">
              <a16:creationId xmlns:a16="http://schemas.microsoft.com/office/drawing/2014/main" id="{245F31F7-CEDC-4815-99F1-BC0200923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176212</xdr:colOff>
      <xdr:row>2</xdr:row>
      <xdr:rowOff>176212</xdr:rowOff>
    </xdr:from>
    <xdr:to>
      <xdr:col>10</xdr:col>
      <xdr:colOff>400050</xdr:colOff>
      <xdr:row>20</xdr:row>
      <xdr:rowOff>14288</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E51817F0-A24A-4A83-A246-A987ECB7D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0.01421</cdr:x>
      <cdr:y>0.03692</cdr:y>
    </cdr:from>
    <cdr:to>
      <cdr:x>0.09382</cdr:x>
      <cdr:y>0.20923</cdr:y>
    </cdr:to>
    <cdr:pic>
      <cdr:nvPicPr>
        <cdr:cNvPr id="3" name="Graphic 2" descr="Medical with solid fill">
          <a:extLst xmlns:a="http://schemas.openxmlformats.org/drawingml/2006/main">
            <a:ext uri="{FF2B5EF4-FFF2-40B4-BE49-F238E27FC236}">
              <a16:creationId xmlns:a16="http://schemas.microsoft.com/office/drawing/2014/main" id="{2EFEC924-9FCD-440B-6CBB-D71C0D52CF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5250" y="114300"/>
          <a:ext cx="533401" cy="53340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8</xdr:col>
      <xdr:colOff>503124</xdr:colOff>
      <xdr:row>8</xdr:row>
      <xdr:rowOff>19505</xdr:rowOff>
    </xdr:from>
    <xdr:to>
      <xdr:col>14</xdr:col>
      <xdr:colOff>146723</xdr:colOff>
      <xdr:row>21</xdr:row>
      <xdr:rowOff>112431</xdr:rowOff>
    </xdr:to>
    <xdr:sp macro="" textlink="">
      <xdr:nvSpPr>
        <xdr:cNvPr id="35" name="Rectangle: Rounded Corners 34">
          <a:extLst>
            <a:ext uri="{FF2B5EF4-FFF2-40B4-BE49-F238E27FC236}">
              <a16:creationId xmlns:a16="http://schemas.microsoft.com/office/drawing/2014/main" id="{A285F7C8-13CD-EB81-C4B1-F9AA7EA4407B}"/>
            </a:ext>
          </a:extLst>
        </xdr:cNvPr>
        <xdr:cNvSpPr/>
      </xdr:nvSpPr>
      <xdr:spPr>
        <a:xfrm>
          <a:off x="5688162" y="1480482"/>
          <a:ext cx="3532377" cy="2467015"/>
        </a:xfrm>
        <a:prstGeom prst="roundRect">
          <a:avLst>
            <a:gd name="adj" fmla="val 4535"/>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0</xdr:col>
      <xdr:colOff>84657</xdr:colOff>
      <xdr:row>0</xdr:row>
      <xdr:rowOff>35604</xdr:rowOff>
    </xdr:from>
    <xdr:to>
      <xdr:col>5</xdr:col>
      <xdr:colOff>522518</xdr:colOff>
      <xdr:row>3</xdr:row>
      <xdr:rowOff>24823</xdr:rowOff>
    </xdr:to>
    <xdr:sp macro="" textlink="">
      <xdr:nvSpPr>
        <xdr:cNvPr id="2" name="Rectangle: Rounded Corners 1">
          <a:extLst>
            <a:ext uri="{FF2B5EF4-FFF2-40B4-BE49-F238E27FC236}">
              <a16:creationId xmlns:a16="http://schemas.microsoft.com/office/drawing/2014/main" id="{19DAC72D-DEE8-12DF-1944-A175F67E89BF}"/>
            </a:ext>
          </a:extLst>
        </xdr:cNvPr>
        <xdr:cNvSpPr/>
      </xdr:nvSpPr>
      <xdr:spPr>
        <a:xfrm>
          <a:off x="84657" y="35604"/>
          <a:ext cx="3690300" cy="529357"/>
        </a:xfrm>
        <a:prstGeom prst="roundRect">
          <a:avLst>
            <a:gd name="adj" fmla="val 1245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5</xdr:col>
      <xdr:colOff>552312</xdr:colOff>
      <xdr:row>0</xdr:row>
      <xdr:rowOff>41014</xdr:rowOff>
    </xdr:from>
    <xdr:to>
      <xdr:col>8</xdr:col>
      <xdr:colOff>478020</xdr:colOff>
      <xdr:row>3</xdr:row>
      <xdr:rowOff>30233</xdr:rowOff>
    </xdr:to>
    <xdr:sp macro="" textlink="">
      <xdr:nvSpPr>
        <xdr:cNvPr id="3" name="Rectangle: Rounded Corners 2">
          <a:extLst>
            <a:ext uri="{FF2B5EF4-FFF2-40B4-BE49-F238E27FC236}">
              <a16:creationId xmlns:a16="http://schemas.microsoft.com/office/drawing/2014/main" id="{DE9FB5FB-468A-7A35-C4A9-C7E73C70E7AD}"/>
            </a:ext>
          </a:extLst>
        </xdr:cNvPr>
        <xdr:cNvSpPr/>
      </xdr:nvSpPr>
      <xdr:spPr>
        <a:xfrm>
          <a:off x="3804751" y="41014"/>
          <a:ext cx="1877171" cy="529357"/>
        </a:xfrm>
        <a:prstGeom prst="roundRect">
          <a:avLst>
            <a:gd name="adj" fmla="val 1245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0</xdr:col>
      <xdr:colOff>101681</xdr:colOff>
      <xdr:row>3</xdr:row>
      <xdr:rowOff>46464</xdr:rowOff>
    </xdr:from>
    <xdr:to>
      <xdr:col>2</xdr:col>
      <xdr:colOff>139132</xdr:colOff>
      <xdr:row>21</xdr:row>
      <xdr:rowOff>112464</xdr:rowOff>
    </xdr:to>
    <xdr:sp macro="" textlink="">
      <xdr:nvSpPr>
        <xdr:cNvPr id="6" name="Rectangle: Rounded Corners 5">
          <a:extLst>
            <a:ext uri="{FF2B5EF4-FFF2-40B4-BE49-F238E27FC236}">
              <a16:creationId xmlns:a16="http://schemas.microsoft.com/office/drawing/2014/main" id="{D9A2408A-9DA4-3D81-EBA7-56D9EF8AFE11}"/>
            </a:ext>
          </a:extLst>
        </xdr:cNvPr>
        <xdr:cNvSpPr/>
      </xdr:nvSpPr>
      <xdr:spPr>
        <a:xfrm>
          <a:off x="101681" y="590750"/>
          <a:ext cx="1330130" cy="3331714"/>
        </a:xfrm>
        <a:prstGeom prst="roundRect">
          <a:avLst>
            <a:gd name="adj" fmla="val 269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2</xdr:col>
      <xdr:colOff>183511</xdr:colOff>
      <xdr:row>3</xdr:row>
      <xdr:rowOff>52174</xdr:rowOff>
    </xdr:from>
    <xdr:to>
      <xdr:col>4</xdr:col>
      <xdr:colOff>189579</xdr:colOff>
      <xdr:row>8</xdr:row>
      <xdr:rowOff>37896</xdr:rowOff>
    </xdr:to>
    <xdr:sp macro="" textlink="">
      <xdr:nvSpPr>
        <xdr:cNvPr id="7" name="Rectangle: Rounded Corners 6">
          <a:extLst>
            <a:ext uri="{FF2B5EF4-FFF2-40B4-BE49-F238E27FC236}">
              <a16:creationId xmlns:a16="http://schemas.microsoft.com/office/drawing/2014/main" id="{E6E37730-B611-21A3-5557-82FF6E943F48}"/>
            </a:ext>
          </a:extLst>
        </xdr:cNvPr>
        <xdr:cNvSpPr/>
      </xdr:nvSpPr>
      <xdr:spPr>
        <a:xfrm>
          <a:off x="1478577" y="591089"/>
          <a:ext cx="1301134" cy="883912"/>
        </a:xfrm>
        <a:prstGeom prst="roundRect">
          <a:avLst>
            <a:gd name="adj" fmla="val 10584"/>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de-DE" sz="1100"/>
        </a:p>
      </xdr:txBody>
    </xdr:sp>
    <xdr:clientData/>
  </xdr:twoCellAnchor>
  <xdr:twoCellAnchor>
    <xdr:from>
      <xdr:col>4</xdr:col>
      <xdr:colOff>218281</xdr:colOff>
      <xdr:row>3</xdr:row>
      <xdr:rowOff>51216</xdr:rowOff>
    </xdr:from>
    <xdr:to>
      <xdr:col>6</xdr:col>
      <xdr:colOff>342547</xdr:colOff>
      <xdr:row>8</xdr:row>
      <xdr:rowOff>36938</xdr:rowOff>
    </xdr:to>
    <xdr:sp macro="" textlink="">
      <xdr:nvSpPr>
        <xdr:cNvPr id="8" name="Rectangle: Rounded Corners 7">
          <a:extLst>
            <a:ext uri="{FF2B5EF4-FFF2-40B4-BE49-F238E27FC236}">
              <a16:creationId xmlns:a16="http://schemas.microsoft.com/office/drawing/2014/main" id="{B0CD5A7B-6D3D-6B69-3ADD-64F476C57B61}"/>
            </a:ext>
          </a:extLst>
        </xdr:cNvPr>
        <xdr:cNvSpPr/>
      </xdr:nvSpPr>
      <xdr:spPr>
        <a:xfrm>
          <a:off x="2820232" y="591354"/>
          <a:ext cx="1425242" cy="885950"/>
        </a:xfrm>
        <a:prstGeom prst="roundRect">
          <a:avLst>
            <a:gd name="adj" fmla="val 10584"/>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6</xdr:col>
      <xdr:colOff>386715</xdr:colOff>
      <xdr:row>3</xdr:row>
      <xdr:rowOff>63421</xdr:rowOff>
    </xdr:from>
    <xdr:to>
      <xdr:col>8</xdr:col>
      <xdr:colOff>482297</xdr:colOff>
      <xdr:row>8</xdr:row>
      <xdr:rowOff>49143</xdr:rowOff>
    </xdr:to>
    <xdr:sp macro="" textlink="">
      <xdr:nvSpPr>
        <xdr:cNvPr id="9" name="Rectangle: Rounded Corners 8">
          <a:extLst>
            <a:ext uri="{FF2B5EF4-FFF2-40B4-BE49-F238E27FC236}">
              <a16:creationId xmlns:a16="http://schemas.microsoft.com/office/drawing/2014/main" id="{28E07DB9-7435-9F51-2CE7-A727CC6DFCAB}"/>
            </a:ext>
          </a:extLst>
        </xdr:cNvPr>
        <xdr:cNvSpPr/>
      </xdr:nvSpPr>
      <xdr:spPr>
        <a:xfrm>
          <a:off x="4289642" y="603559"/>
          <a:ext cx="1396557" cy="885950"/>
        </a:xfrm>
        <a:prstGeom prst="roundRect">
          <a:avLst>
            <a:gd name="adj" fmla="val 771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de-DE" sz="1100">
            <a:noFill/>
          </a:endParaRPr>
        </a:p>
      </xdr:txBody>
    </xdr:sp>
    <xdr:clientData/>
  </xdr:twoCellAnchor>
  <xdr:twoCellAnchor>
    <xdr:from>
      <xdr:col>2</xdr:col>
      <xdr:colOff>172438</xdr:colOff>
      <xdr:row>8</xdr:row>
      <xdr:rowOff>71433</xdr:rowOff>
    </xdr:from>
    <xdr:to>
      <xdr:col>8</xdr:col>
      <xdr:colOff>482295</xdr:colOff>
      <xdr:row>12</xdr:row>
      <xdr:rowOff>49674</xdr:rowOff>
    </xdr:to>
    <xdr:sp macro="" textlink="">
      <xdr:nvSpPr>
        <xdr:cNvPr id="23" name="Rectangle: Rounded Corners 22">
          <a:extLst>
            <a:ext uri="{FF2B5EF4-FFF2-40B4-BE49-F238E27FC236}">
              <a16:creationId xmlns:a16="http://schemas.microsoft.com/office/drawing/2014/main" id="{909849A3-EB06-8889-487B-8312F7A0DE8D}"/>
            </a:ext>
          </a:extLst>
        </xdr:cNvPr>
        <xdr:cNvSpPr/>
      </xdr:nvSpPr>
      <xdr:spPr>
        <a:xfrm>
          <a:off x="1465117" y="1522862"/>
          <a:ext cx="4187892" cy="703955"/>
        </a:xfrm>
        <a:prstGeom prst="roundRect">
          <a:avLst>
            <a:gd name="adj" fmla="val 10584"/>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2</xdr:col>
      <xdr:colOff>175499</xdr:colOff>
      <xdr:row>12</xdr:row>
      <xdr:rowOff>82870</xdr:rowOff>
    </xdr:from>
    <xdr:to>
      <xdr:col>8</xdr:col>
      <xdr:colOff>482297</xdr:colOff>
      <xdr:row>21</xdr:row>
      <xdr:rowOff>99598</xdr:rowOff>
    </xdr:to>
    <xdr:sp macro="" textlink="">
      <xdr:nvSpPr>
        <xdr:cNvPr id="28" name="Rectangle: Rounded Corners 27">
          <a:extLst>
            <a:ext uri="{FF2B5EF4-FFF2-40B4-BE49-F238E27FC236}">
              <a16:creationId xmlns:a16="http://schemas.microsoft.com/office/drawing/2014/main" id="{E88AEBF0-3E80-B27A-FF95-DC4FE81D7346}"/>
            </a:ext>
          </a:extLst>
        </xdr:cNvPr>
        <xdr:cNvSpPr/>
      </xdr:nvSpPr>
      <xdr:spPr>
        <a:xfrm>
          <a:off x="1470565" y="2238528"/>
          <a:ext cx="4191995" cy="1633472"/>
        </a:xfrm>
        <a:prstGeom prst="roundRect">
          <a:avLst>
            <a:gd name="adj" fmla="val 4641"/>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1</xdr:col>
      <xdr:colOff>136082</xdr:colOff>
      <xdr:row>0</xdr:row>
      <xdr:rowOff>123974</xdr:rowOff>
    </xdr:from>
    <xdr:to>
      <xdr:col>6</xdr:col>
      <xdr:colOff>4629</xdr:colOff>
      <xdr:row>1</xdr:row>
      <xdr:rowOff>148219</xdr:rowOff>
    </xdr:to>
    <xdr:sp macro="" textlink="">
      <xdr:nvSpPr>
        <xdr:cNvPr id="36" name="TextBox 35">
          <a:extLst>
            <a:ext uri="{FF2B5EF4-FFF2-40B4-BE49-F238E27FC236}">
              <a16:creationId xmlns:a16="http://schemas.microsoft.com/office/drawing/2014/main" id="{6D51BD9B-443B-F38D-474C-C38943D20D42}"/>
            </a:ext>
          </a:extLst>
        </xdr:cNvPr>
        <xdr:cNvSpPr txBox="1"/>
      </xdr:nvSpPr>
      <xdr:spPr>
        <a:xfrm flipH="1">
          <a:off x="786570" y="123974"/>
          <a:ext cx="3120986" cy="2042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de-DE" sz="1100"/>
            <a:t>Hospital Emergency Room</a:t>
          </a:r>
          <a:r>
            <a:rPr lang="de-DE" sz="1100" baseline="0"/>
            <a:t> </a:t>
          </a:r>
          <a:r>
            <a:rPr lang="de-DE" sz="1100"/>
            <a:t>Dashboard</a:t>
          </a:r>
        </a:p>
      </xdr:txBody>
    </xdr:sp>
    <xdr:clientData/>
  </xdr:twoCellAnchor>
  <xdr:twoCellAnchor>
    <xdr:from>
      <xdr:col>0</xdr:col>
      <xdr:colOff>149233</xdr:colOff>
      <xdr:row>0</xdr:row>
      <xdr:rowOff>53433</xdr:rowOff>
    </xdr:from>
    <xdr:to>
      <xdr:col>1</xdr:col>
      <xdr:colOff>54814</xdr:colOff>
      <xdr:row>2</xdr:row>
      <xdr:rowOff>164503</xdr:rowOff>
    </xdr:to>
    <xdr:pic>
      <xdr:nvPicPr>
        <xdr:cNvPr id="40" name="Picture 39">
          <a:extLst>
            <a:ext uri="{FF2B5EF4-FFF2-40B4-BE49-F238E27FC236}">
              <a16:creationId xmlns:a16="http://schemas.microsoft.com/office/drawing/2014/main" id="{B646CC94-D6EA-61AF-1BE5-EA4A2C9666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674" t="-2" r="14672" b="-1615"/>
        <a:stretch>
          <a:fillRect/>
        </a:stretch>
      </xdr:blipFill>
      <xdr:spPr>
        <a:xfrm>
          <a:off x="149233" y="53433"/>
          <a:ext cx="556069" cy="471161"/>
        </a:xfrm>
        <a:prstGeom prst="rect">
          <a:avLst/>
        </a:prstGeom>
        <a:ln>
          <a:noFill/>
        </a:ln>
      </xdr:spPr>
    </xdr:pic>
    <xdr:clientData/>
  </xdr:twoCellAnchor>
  <xdr:twoCellAnchor>
    <xdr:from>
      <xdr:col>2</xdr:col>
      <xdr:colOff>245137</xdr:colOff>
      <xdr:row>1</xdr:row>
      <xdr:rowOff>142273</xdr:rowOff>
    </xdr:from>
    <xdr:to>
      <xdr:col>4</xdr:col>
      <xdr:colOff>168193</xdr:colOff>
      <xdr:row>2</xdr:row>
      <xdr:rowOff>157273</xdr:rowOff>
    </xdr:to>
    <xdr:sp macro="" textlink="">
      <xdr:nvSpPr>
        <xdr:cNvPr id="42" name="TextBox 41">
          <a:extLst>
            <a:ext uri="{FF2B5EF4-FFF2-40B4-BE49-F238E27FC236}">
              <a16:creationId xmlns:a16="http://schemas.microsoft.com/office/drawing/2014/main" id="{C18EA044-312F-4794-B34B-817FD7326C22}"/>
            </a:ext>
          </a:extLst>
        </xdr:cNvPr>
        <xdr:cNvSpPr txBox="1"/>
      </xdr:nvSpPr>
      <xdr:spPr>
        <a:xfrm flipH="1">
          <a:off x="1541595" y="320867"/>
          <a:ext cx="1219515" cy="19359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de-DE" sz="1050"/>
            <a:t>Monthly</a:t>
          </a:r>
          <a:r>
            <a:rPr lang="de-DE" sz="1050" baseline="0"/>
            <a:t> Report</a:t>
          </a:r>
          <a:endParaRPr lang="de-DE" sz="1050"/>
        </a:p>
      </xdr:txBody>
    </xdr:sp>
    <xdr:clientData/>
  </xdr:twoCellAnchor>
  <xdr:twoCellAnchor>
    <xdr:from>
      <xdr:col>2</xdr:col>
      <xdr:colOff>185050</xdr:colOff>
      <xdr:row>3</xdr:row>
      <xdr:rowOff>54046</xdr:rowOff>
    </xdr:from>
    <xdr:to>
      <xdr:col>4</xdr:col>
      <xdr:colOff>35981</xdr:colOff>
      <xdr:row>4</xdr:row>
      <xdr:rowOff>78292</xdr:rowOff>
    </xdr:to>
    <xdr:sp macro="" textlink="Dashboard!$A$3">
      <xdr:nvSpPr>
        <xdr:cNvPr id="45" name="TextBox 44">
          <a:extLst>
            <a:ext uri="{FF2B5EF4-FFF2-40B4-BE49-F238E27FC236}">
              <a16:creationId xmlns:a16="http://schemas.microsoft.com/office/drawing/2014/main" id="{95880456-4ECA-4C86-893F-43D8E438AA1B}"/>
            </a:ext>
          </a:extLst>
        </xdr:cNvPr>
        <xdr:cNvSpPr txBox="1"/>
      </xdr:nvSpPr>
      <xdr:spPr>
        <a:xfrm flipH="1">
          <a:off x="1486026" y="594184"/>
          <a:ext cx="1151906" cy="2042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fld id="{8B066994-05E4-4589-A224-0B83E58F0490}" type="TxLink">
            <a:rPr lang="en-US" sz="1100" b="0" i="0" u="none" strike="noStrike">
              <a:solidFill>
                <a:srgbClr val="000000"/>
              </a:solidFill>
              <a:latin typeface="Aptos Narrow"/>
            </a:rPr>
            <a:pPr/>
            <a:t> </a:t>
          </a:fld>
          <a:endParaRPr lang="de-DE" sz="1050"/>
        </a:p>
      </xdr:txBody>
    </xdr:sp>
    <xdr:clientData/>
  </xdr:twoCellAnchor>
  <xdr:twoCellAnchor>
    <xdr:from>
      <xdr:col>2</xdr:col>
      <xdr:colOff>216862</xdr:colOff>
      <xdr:row>4</xdr:row>
      <xdr:rowOff>53946</xdr:rowOff>
    </xdr:from>
    <xdr:to>
      <xdr:col>4</xdr:col>
      <xdr:colOff>139918</xdr:colOff>
      <xdr:row>5</xdr:row>
      <xdr:rowOff>78194</xdr:rowOff>
    </xdr:to>
    <xdr:sp macro="" textlink="'Pivot Report'!A5">
      <xdr:nvSpPr>
        <xdr:cNvPr id="46" name="TextBox 45">
          <a:extLst>
            <a:ext uri="{FF2B5EF4-FFF2-40B4-BE49-F238E27FC236}">
              <a16:creationId xmlns:a16="http://schemas.microsoft.com/office/drawing/2014/main" id="{978ACABC-369A-9DB5-39F9-43B73F1C25AB}"/>
            </a:ext>
          </a:extLst>
        </xdr:cNvPr>
        <xdr:cNvSpPr txBox="1"/>
      </xdr:nvSpPr>
      <xdr:spPr>
        <a:xfrm flipH="1">
          <a:off x="1511928" y="772499"/>
          <a:ext cx="1218122" cy="203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824AD1D9-73AD-400F-9E3F-C5996062A659}" type="TxLink">
            <a:rPr lang="en-US" sz="1100" b="0" i="0" u="none" strike="noStrike">
              <a:solidFill>
                <a:srgbClr val="000000"/>
              </a:solidFill>
              <a:latin typeface="Aptos Narrow"/>
            </a:rPr>
            <a:pPr algn="ctr"/>
            <a:t>129</a:t>
          </a:fld>
          <a:endParaRPr lang="de-DE" sz="1050"/>
        </a:p>
      </xdr:txBody>
    </xdr:sp>
    <xdr:clientData/>
  </xdr:twoCellAnchor>
  <xdr:twoCellAnchor>
    <xdr:from>
      <xdr:col>2</xdr:col>
      <xdr:colOff>225220</xdr:colOff>
      <xdr:row>5</xdr:row>
      <xdr:rowOff>56073</xdr:rowOff>
    </xdr:from>
    <xdr:to>
      <xdr:col>4</xdr:col>
      <xdr:colOff>148276</xdr:colOff>
      <xdr:row>6</xdr:row>
      <xdr:rowOff>71072</xdr:rowOff>
    </xdr:to>
    <xdr:sp macro="" textlink="">
      <xdr:nvSpPr>
        <xdr:cNvPr id="48" name="TextBox 47">
          <a:extLst>
            <a:ext uri="{FF2B5EF4-FFF2-40B4-BE49-F238E27FC236}">
              <a16:creationId xmlns:a16="http://schemas.microsoft.com/office/drawing/2014/main" id="{CBDA4FA3-D1DA-2A29-732F-4135519DF9BE}"/>
            </a:ext>
          </a:extLst>
        </xdr:cNvPr>
        <xdr:cNvSpPr txBox="1"/>
      </xdr:nvSpPr>
      <xdr:spPr>
        <a:xfrm flipH="1">
          <a:off x="1520286" y="954264"/>
          <a:ext cx="1218122" cy="1946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de-DE" sz="1050"/>
            <a:t>No.</a:t>
          </a:r>
          <a:r>
            <a:rPr lang="de-DE" sz="1050" baseline="0"/>
            <a:t> of Patient</a:t>
          </a:r>
          <a:endParaRPr lang="de-DE" sz="1050"/>
        </a:p>
      </xdr:txBody>
    </xdr:sp>
    <xdr:clientData/>
  </xdr:twoCellAnchor>
  <xdr:twoCellAnchor>
    <xdr:from>
      <xdr:col>4</xdr:col>
      <xdr:colOff>267751</xdr:colOff>
      <xdr:row>4</xdr:row>
      <xdr:rowOff>33350</xdr:rowOff>
    </xdr:from>
    <xdr:to>
      <xdr:col>6</xdr:col>
      <xdr:colOff>432274</xdr:colOff>
      <xdr:row>5</xdr:row>
      <xdr:rowOff>57598</xdr:rowOff>
    </xdr:to>
    <xdr:sp macro="" textlink="'Pivot Report'!A10">
      <xdr:nvSpPr>
        <xdr:cNvPr id="49" name="TextBox 48">
          <a:extLst>
            <a:ext uri="{FF2B5EF4-FFF2-40B4-BE49-F238E27FC236}">
              <a16:creationId xmlns:a16="http://schemas.microsoft.com/office/drawing/2014/main" id="{7A856767-0CF7-2E40-C549-BBCA93DF9108}"/>
            </a:ext>
          </a:extLst>
        </xdr:cNvPr>
        <xdr:cNvSpPr txBox="1"/>
      </xdr:nvSpPr>
      <xdr:spPr>
        <a:xfrm flipH="1">
          <a:off x="2857883" y="751903"/>
          <a:ext cx="1459588" cy="203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6227975B-BB5B-49EF-84EB-60CE1496EFC2}" type="TxLink">
            <a:rPr lang="en-US" sz="1100" b="0" i="0" u="none" strike="noStrike">
              <a:solidFill>
                <a:srgbClr val="000000"/>
              </a:solidFill>
              <a:latin typeface="Aptos Narrow"/>
            </a:rPr>
            <a:pPr algn="ctr"/>
            <a:t>33.84</a:t>
          </a:fld>
          <a:endParaRPr lang="de-DE" sz="1050"/>
        </a:p>
      </xdr:txBody>
    </xdr:sp>
    <xdr:clientData/>
  </xdr:twoCellAnchor>
  <xdr:twoCellAnchor>
    <xdr:from>
      <xdr:col>4</xdr:col>
      <xdr:colOff>233533</xdr:colOff>
      <xdr:row>5</xdr:row>
      <xdr:rowOff>28966</xdr:rowOff>
    </xdr:from>
    <xdr:to>
      <xdr:col>6</xdr:col>
      <xdr:colOff>355282</xdr:colOff>
      <xdr:row>6</xdr:row>
      <xdr:rowOff>43965</xdr:rowOff>
    </xdr:to>
    <xdr:sp macro="" textlink="">
      <xdr:nvSpPr>
        <xdr:cNvPr id="50" name="TextBox 49">
          <a:extLst>
            <a:ext uri="{FF2B5EF4-FFF2-40B4-BE49-F238E27FC236}">
              <a16:creationId xmlns:a16="http://schemas.microsoft.com/office/drawing/2014/main" id="{E40E2BF6-7D3E-999B-1FC4-0005936E6A3B}"/>
            </a:ext>
          </a:extLst>
        </xdr:cNvPr>
        <xdr:cNvSpPr txBox="1"/>
      </xdr:nvSpPr>
      <xdr:spPr>
        <a:xfrm flipH="1">
          <a:off x="2823665" y="927157"/>
          <a:ext cx="1416814" cy="1946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de-DE" sz="1050"/>
            <a:t>Average</a:t>
          </a:r>
          <a:r>
            <a:rPr lang="de-DE" sz="1050" baseline="0"/>
            <a:t> Wait Time</a:t>
          </a:r>
          <a:endParaRPr lang="de-DE" sz="1050"/>
        </a:p>
      </xdr:txBody>
    </xdr:sp>
    <xdr:clientData/>
  </xdr:twoCellAnchor>
  <xdr:twoCellAnchor>
    <xdr:from>
      <xdr:col>6</xdr:col>
      <xdr:colOff>358126</xdr:colOff>
      <xdr:row>4</xdr:row>
      <xdr:rowOff>50804</xdr:rowOff>
    </xdr:from>
    <xdr:to>
      <xdr:col>8</xdr:col>
      <xdr:colOff>526538</xdr:colOff>
      <xdr:row>5</xdr:row>
      <xdr:rowOff>75052</xdr:rowOff>
    </xdr:to>
    <xdr:sp macro="" textlink="'Pivot Report'!A16">
      <xdr:nvSpPr>
        <xdr:cNvPr id="51" name="TextBox 50">
          <a:extLst>
            <a:ext uri="{FF2B5EF4-FFF2-40B4-BE49-F238E27FC236}">
              <a16:creationId xmlns:a16="http://schemas.microsoft.com/office/drawing/2014/main" id="{3EDDAEAF-0EE3-BA7F-B23A-8DE31EFF25EB}"/>
            </a:ext>
          </a:extLst>
        </xdr:cNvPr>
        <xdr:cNvSpPr txBox="1"/>
      </xdr:nvSpPr>
      <xdr:spPr>
        <a:xfrm flipH="1">
          <a:off x="4243323" y="769357"/>
          <a:ext cx="1463478" cy="203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fld id="{48188A5F-7FD6-4171-9CB0-9341C87F4698}" type="TxLink">
            <a:rPr lang="en-US" sz="1100" b="0" i="0" u="none" strike="noStrike">
              <a:solidFill>
                <a:srgbClr val="000000"/>
              </a:solidFill>
              <a:latin typeface="Aptos Narrow"/>
            </a:rPr>
            <a:pPr algn="ctr"/>
            <a:t>4.90</a:t>
          </a:fld>
          <a:endParaRPr lang="de-DE" sz="1050"/>
        </a:p>
      </xdr:txBody>
    </xdr:sp>
    <xdr:clientData/>
  </xdr:twoCellAnchor>
  <xdr:twoCellAnchor>
    <xdr:from>
      <xdr:col>8</xdr:col>
      <xdr:colOff>519059</xdr:colOff>
      <xdr:row>0</xdr:row>
      <xdr:rowOff>34068</xdr:rowOff>
    </xdr:from>
    <xdr:to>
      <xdr:col>11</xdr:col>
      <xdr:colOff>321745</xdr:colOff>
      <xdr:row>8</xdr:row>
      <xdr:rowOff>3634</xdr:rowOff>
    </xdr:to>
    <xdr:sp macro="" textlink="">
      <xdr:nvSpPr>
        <xdr:cNvPr id="4" name="Rectangle: Rounded Corners 3">
          <a:extLst>
            <a:ext uri="{FF2B5EF4-FFF2-40B4-BE49-F238E27FC236}">
              <a16:creationId xmlns:a16="http://schemas.microsoft.com/office/drawing/2014/main" id="{92D6B59F-A3D0-4EAE-7BAA-492E10454A4E}"/>
            </a:ext>
          </a:extLst>
        </xdr:cNvPr>
        <xdr:cNvSpPr/>
      </xdr:nvSpPr>
      <xdr:spPr>
        <a:xfrm>
          <a:off x="5722961" y="34068"/>
          <a:ext cx="1754150" cy="1409932"/>
        </a:xfrm>
        <a:prstGeom prst="roundRect">
          <a:avLst>
            <a:gd name="adj" fmla="val 614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11</xdr:col>
      <xdr:colOff>365083</xdr:colOff>
      <xdr:row>0</xdr:row>
      <xdr:rowOff>23398</xdr:rowOff>
    </xdr:from>
    <xdr:to>
      <xdr:col>14</xdr:col>
      <xdr:colOff>169309</xdr:colOff>
      <xdr:row>7</xdr:row>
      <xdr:rowOff>176225</xdr:rowOff>
    </xdr:to>
    <xdr:sp macro="" textlink="">
      <xdr:nvSpPr>
        <xdr:cNvPr id="5" name="Rectangle: Rounded Corners 4">
          <a:extLst>
            <a:ext uri="{FF2B5EF4-FFF2-40B4-BE49-F238E27FC236}">
              <a16:creationId xmlns:a16="http://schemas.microsoft.com/office/drawing/2014/main" id="{38A8C948-AD1F-12E1-FC2E-1324026F741F}"/>
            </a:ext>
          </a:extLst>
        </xdr:cNvPr>
        <xdr:cNvSpPr/>
      </xdr:nvSpPr>
      <xdr:spPr>
        <a:xfrm>
          <a:off x="7520449" y="23398"/>
          <a:ext cx="1755689" cy="1413148"/>
        </a:xfrm>
        <a:prstGeom prst="roundRect">
          <a:avLst>
            <a:gd name="adj" fmla="val 6142"/>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de-DE" sz="1100"/>
        </a:p>
      </xdr:txBody>
    </xdr:sp>
    <xdr:clientData/>
  </xdr:twoCellAnchor>
  <xdr:twoCellAnchor>
    <xdr:from>
      <xdr:col>6</xdr:col>
      <xdr:colOff>127877</xdr:colOff>
      <xdr:row>5</xdr:row>
      <xdr:rowOff>64463</xdr:rowOff>
    </xdr:from>
    <xdr:to>
      <xdr:col>9</xdr:col>
      <xdr:colOff>90836</xdr:colOff>
      <xdr:row>6</xdr:row>
      <xdr:rowOff>50026</xdr:rowOff>
    </xdr:to>
    <xdr:sp macro="" textlink="">
      <xdr:nvSpPr>
        <xdr:cNvPr id="52" name="TextBox 51">
          <a:extLst>
            <a:ext uri="{FF2B5EF4-FFF2-40B4-BE49-F238E27FC236}">
              <a16:creationId xmlns:a16="http://schemas.microsoft.com/office/drawing/2014/main" id="{E8C32F5F-3CCD-4E1E-129F-2F7B4FB72447}"/>
            </a:ext>
          </a:extLst>
        </xdr:cNvPr>
        <xdr:cNvSpPr txBox="1"/>
      </xdr:nvSpPr>
      <xdr:spPr>
        <a:xfrm flipH="1">
          <a:off x="4013074" y="962654"/>
          <a:ext cx="1905558" cy="1652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de-DE" sz="1050"/>
            <a:t>Patient</a:t>
          </a:r>
          <a:r>
            <a:rPr lang="de-DE" sz="1050" baseline="0"/>
            <a:t> </a:t>
          </a:r>
          <a:r>
            <a:rPr lang="de-DE" sz="1050"/>
            <a:t>Satisfaction</a:t>
          </a:r>
          <a:r>
            <a:rPr lang="de-DE" sz="1050" baseline="0"/>
            <a:t> Score</a:t>
          </a:r>
        </a:p>
      </xdr:txBody>
    </xdr:sp>
    <xdr:clientData/>
  </xdr:twoCellAnchor>
  <xdr:twoCellAnchor editAs="oneCell">
    <xdr:from>
      <xdr:col>3</xdr:col>
      <xdr:colOff>451183</xdr:colOff>
      <xdr:row>3</xdr:row>
      <xdr:rowOff>75197</xdr:rowOff>
    </xdr:from>
    <xdr:to>
      <xdr:col>4</xdr:col>
      <xdr:colOff>121150</xdr:colOff>
      <xdr:row>5</xdr:row>
      <xdr:rowOff>33421</xdr:rowOff>
    </xdr:to>
    <xdr:pic>
      <xdr:nvPicPr>
        <xdr:cNvPr id="63" name="Graphic 62" descr="User with solid fill">
          <a:extLst>
            <a:ext uri="{FF2B5EF4-FFF2-40B4-BE49-F238E27FC236}">
              <a16:creationId xmlns:a16="http://schemas.microsoft.com/office/drawing/2014/main" id="{6087A3B5-9F9A-AE42-82DC-B3D8426D95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93782" y="614112"/>
          <a:ext cx="317500" cy="317500"/>
        </a:xfrm>
        <a:prstGeom prst="rect">
          <a:avLst/>
        </a:prstGeom>
      </xdr:spPr>
    </xdr:pic>
    <xdr:clientData/>
  </xdr:twoCellAnchor>
  <xdr:twoCellAnchor editAs="oneCell">
    <xdr:from>
      <xdr:col>6</xdr:col>
      <xdr:colOff>33423</xdr:colOff>
      <xdr:row>3</xdr:row>
      <xdr:rowOff>104442</xdr:rowOff>
    </xdr:from>
    <xdr:to>
      <xdr:col>6</xdr:col>
      <xdr:colOff>279903</xdr:colOff>
      <xdr:row>4</xdr:row>
      <xdr:rowOff>171284</xdr:rowOff>
    </xdr:to>
    <xdr:pic>
      <xdr:nvPicPr>
        <xdr:cNvPr id="67" name="Graphic 66" descr="Hourglass 30% with solid fill">
          <a:extLst>
            <a:ext uri="{FF2B5EF4-FFF2-40B4-BE49-F238E27FC236}">
              <a16:creationId xmlns:a16="http://schemas.microsoft.com/office/drawing/2014/main" id="{28522E39-835A-53B2-03BE-346150A620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18620" y="643357"/>
          <a:ext cx="246480" cy="246480"/>
        </a:xfrm>
        <a:prstGeom prst="rect">
          <a:avLst/>
        </a:prstGeom>
      </xdr:spPr>
    </xdr:pic>
    <xdr:clientData/>
  </xdr:twoCellAnchor>
  <xdr:twoCellAnchor editAs="oneCell">
    <xdr:from>
      <xdr:col>8</xdr:col>
      <xdr:colOff>171283</xdr:colOff>
      <xdr:row>3</xdr:row>
      <xdr:rowOff>108618</xdr:rowOff>
    </xdr:from>
    <xdr:to>
      <xdr:col>8</xdr:col>
      <xdr:colOff>442829</xdr:colOff>
      <xdr:row>5</xdr:row>
      <xdr:rowOff>20888</xdr:rowOff>
    </xdr:to>
    <xdr:pic>
      <xdr:nvPicPr>
        <xdr:cNvPr id="69" name="Graphic 68" descr="Customer review with solid fill">
          <a:extLst>
            <a:ext uri="{FF2B5EF4-FFF2-40B4-BE49-F238E27FC236}">
              <a16:creationId xmlns:a16="http://schemas.microsoft.com/office/drawing/2014/main" id="{8010F2AB-2EA1-0C61-E14F-1BB504CDD3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1546" y="647533"/>
          <a:ext cx="271546" cy="271546"/>
        </a:xfrm>
        <a:prstGeom prst="rect">
          <a:avLst/>
        </a:prstGeom>
      </xdr:spPr>
    </xdr:pic>
    <xdr:clientData/>
  </xdr:twoCellAnchor>
  <xdr:twoCellAnchor editAs="oneCell">
    <xdr:from>
      <xdr:col>0</xdr:col>
      <xdr:colOff>151190</xdr:colOff>
      <xdr:row>3</xdr:row>
      <xdr:rowOff>94494</xdr:rowOff>
    </xdr:from>
    <xdr:to>
      <xdr:col>2</xdr:col>
      <xdr:colOff>62471</xdr:colOff>
      <xdr:row>21</xdr:row>
      <xdr:rowOff>120620</xdr:rowOff>
    </xdr:to>
    <mc:AlternateContent xmlns:mc="http://schemas.openxmlformats.org/markup-compatibility/2006" xmlns:a14="http://schemas.microsoft.com/office/drawing/2010/main">
      <mc:Choice Requires="a14">
        <xdr:graphicFrame macro="">
          <xdr:nvGraphicFramePr>
            <xdr:cNvPr id="70" name="Date (Month) 1">
              <a:extLst>
                <a:ext uri="{FF2B5EF4-FFF2-40B4-BE49-F238E27FC236}">
                  <a16:creationId xmlns:a16="http://schemas.microsoft.com/office/drawing/2014/main" id="{24FEE622-DAA3-442F-8A9E-2EECC21B6FB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51190" y="636434"/>
              <a:ext cx="1205367" cy="3277764"/>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224708</xdr:colOff>
      <xdr:row>6</xdr:row>
      <xdr:rowOff>46954</xdr:rowOff>
    </xdr:from>
    <xdr:to>
      <xdr:col>4</xdr:col>
      <xdr:colOff>317498</xdr:colOff>
      <xdr:row>8</xdr:row>
      <xdr:rowOff>106738</xdr:rowOff>
    </xdr:to>
    <xdr:graphicFrame macro="">
      <xdr:nvGraphicFramePr>
        <xdr:cNvPr id="71" name="Chart 70">
          <a:hlinkClick xmlns:r="http://schemas.openxmlformats.org/officeDocument/2006/relationships" r:id="rId8"/>
          <a:extLst>
            <a:ext uri="{FF2B5EF4-FFF2-40B4-BE49-F238E27FC236}">
              <a16:creationId xmlns:a16="http://schemas.microsoft.com/office/drawing/2014/main" id="{FB5B4EC4-F144-43A6-A29E-61FC08105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49138</xdr:colOff>
      <xdr:row>5</xdr:row>
      <xdr:rowOff>133400</xdr:rowOff>
    </xdr:from>
    <xdr:to>
      <xdr:col>6</xdr:col>
      <xdr:colOff>370417</xdr:colOff>
      <xdr:row>8</xdr:row>
      <xdr:rowOff>90715</xdr:rowOff>
    </xdr:to>
    <xdr:graphicFrame macro="">
      <xdr:nvGraphicFramePr>
        <xdr:cNvPr id="74" name="Chart 73">
          <a:hlinkClick xmlns:r="http://schemas.openxmlformats.org/officeDocument/2006/relationships" r:id="rId10"/>
          <a:extLst>
            <a:ext uri="{FF2B5EF4-FFF2-40B4-BE49-F238E27FC236}">
              <a16:creationId xmlns:a16="http://schemas.microsoft.com/office/drawing/2014/main" id="{45709730-9E32-4698-A7A8-FD9E1ADF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286904</xdr:colOff>
      <xdr:row>5</xdr:row>
      <xdr:rowOff>41577</xdr:rowOff>
    </xdr:from>
    <xdr:to>
      <xdr:col>8</xdr:col>
      <xdr:colOff>597202</xdr:colOff>
      <xdr:row>8</xdr:row>
      <xdr:rowOff>136072</xdr:rowOff>
    </xdr:to>
    <xdr:graphicFrame macro="">
      <xdr:nvGraphicFramePr>
        <xdr:cNvPr id="75" name="Chart 74">
          <a:hlinkClick xmlns:r="http://schemas.openxmlformats.org/officeDocument/2006/relationships" r:id="rId12"/>
          <a:extLst>
            <a:ext uri="{FF2B5EF4-FFF2-40B4-BE49-F238E27FC236}">
              <a16:creationId xmlns:a16="http://schemas.microsoft.com/office/drawing/2014/main" id="{3F5B844E-D163-4850-8897-586E24A4E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207886</xdr:colOff>
      <xdr:row>8</xdr:row>
      <xdr:rowOff>94493</xdr:rowOff>
    </xdr:from>
    <xdr:to>
      <xdr:col>8</xdr:col>
      <xdr:colOff>454790</xdr:colOff>
      <xdr:row>12</xdr:row>
      <xdr:rowOff>26458</xdr:rowOff>
    </xdr:to>
    <xdr:pic>
      <xdr:nvPicPr>
        <xdr:cNvPr id="79" name="Picture 78">
          <a:extLst>
            <a:ext uri="{FF2B5EF4-FFF2-40B4-BE49-F238E27FC236}">
              <a16:creationId xmlns:a16="http://schemas.microsoft.com/office/drawing/2014/main" id="{C5432388-CF85-BBEE-434F-BD81D6AD79F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500565" y="1545922"/>
          <a:ext cx="4124939" cy="65767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359314</xdr:colOff>
      <xdr:row>13</xdr:row>
      <xdr:rowOff>52918</xdr:rowOff>
    </xdr:from>
    <xdr:to>
      <xdr:col>8</xdr:col>
      <xdr:colOff>238124</xdr:colOff>
      <xdr:row>19</xdr:row>
      <xdr:rowOff>147411</xdr:rowOff>
    </xdr:to>
    <xdr:graphicFrame macro="">
      <xdr:nvGraphicFramePr>
        <xdr:cNvPr id="80" name="Chart 79">
          <a:extLst>
            <a:ext uri="{FF2B5EF4-FFF2-40B4-BE49-F238E27FC236}">
              <a16:creationId xmlns:a16="http://schemas.microsoft.com/office/drawing/2014/main" id="{5D115160-5E23-465E-B650-E98269C17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136308</xdr:colOff>
      <xdr:row>19</xdr:row>
      <xdr:rowOff>167218</xdr:rowOff>
    </xdr:from>
    <xdr:to>
      <xdr:col>6</xdr:col>
      <xdr:colOff>476249</xdr:colOff>
      <xdr:row>21</xdr:row>
      <xdr:rowOff>789</xdr:rowOff>
    </xdr:to>
    <xdr:sp macro="" textlink="">
      <xdr:nvSpPr>
        <xdr:cNvPr id="82" name="TextBox 81">
          <a:extLst>
            <a:ext uri="{FF2B5EF4-FFF2-40B4-BE49-F238E27FC236}">
              <a16:creationId xmlns:a16="http://schemas.microsoft.com/office/drawing/2014/main" id="{E49B6C6A-5358-400C-AE9C-9D8045CA6254}"/>
            </a:ext>
          </a:extLst>
        </xdr:cNvPr>
        <xdr:cNvSpPr txBox="1"/>
      </xdr:nvSpPr>
      <xdr:spPr>
        <a:xfrm flipH="1">
          <a:off x="2721665" y="3614361"/>
          <a:ext cx="1632620" cy="1964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de-DE" sz="1050"/>
            <a:t>No.</a:t>
          </a:r>
          <a:r>
            <a:rPr lang="de-DE" sz="1050" baseline="0"/>
            <a:t> of Patient by Age Group</a:t>
          </a:r>
          <a:endParaRPr lang="de-DE" sz="1050"/>
        </a:p>
      </xdr:txBody>
    </xdr:sp>
    <xdr:clientData/>
  </xdr:twoCellAnchor>
  <xdr:twoCellAnchor>
    <xdr:from>
      <xdr:col>8</xdr:col>
      <xdr:colOff>559050</xdr:colOff>
      <xdr:row>0</xdr:row>
      <xdr:rowOff>0</xdr:rowOff>
    </xdr:from>
    <xdr:to>
      <xdr:col>11</xdr:col>
      <xdr:colOff>404434</xdr:colOff>
      <xdr:row>9</xdr:row>
      <xdr:rowOff>147411</xdr:rowOff>
    </xdr:to>
    <xdr:graphicFrame macro="">
      <xdr:nvGraphicFramePr>
        <xdr:cNvPr id="83" name="Chart 82">
          <a:extLst>
            <a:ext uri="{FF2B5EF4-FFF2-40B4-BE49-F238E27FC236}">
              <a16:creationId xmlns:a16="http://schemas.microsoft.com/office/drawing/2014/main" id="{CD58F106-E7EE-4DF6-97D5-4864AF456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623304</xdr:colOff>
      <xdr:row>6</xdr:row>
      <xdr:rowOff>129619</xdr:rowOff>
    </xdr:from>
    <xdr:to>
      <xdr:col>11</xdr:col>
      <xdr:colOff>366636</xdr:colOff>
      <xdr:row>7</xdr:row>
      <xdr:rowOff>144618</xdr:rowOff>
    </xdr:to>
    <xdr:sp macro="" textlink="">
      <xdr:nvSpPr>
        <xdr:cNvPr id="86" name="TextBox 85">
          <a:extLst>
            <a:ext uri="{FF2B5EF4-FFF2-40B4-BE49-F238E27FC236}">
              <a16:creationId xmlns:a16="http://schemas.microsoft.com/office/drawing/2014/main" id="{75CAFCA9-46D1-4FB1-B0AE-53ED737066BD}"/>
            </a:ext>
          </a:extLst>
        </xdr:cNvPr>
        <xdr:cNvSpPr txBox="1"/>
      </xdr:nvSpPr>
      <xdr:spPr>
        <a:xfrm flipH="1">
          <a:off x="5794018" y="1218190"/>
          <a:ext cx="1682351" cy="19642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de-DE" sz="1050"/>
            <a:t>Patiend</a:t>
          </a:r>
          <a:r>
            <a:rPr lang="de-DE" sz="1050" baseline="0"/>
            <a:t> Attended within time</a:t>
          </a:r>
          <a:endParaRPr lang="de-DE" sz="1050"/>
        </a:p>
      </xdr:txBody>
    </xdr:sp>
    <xdr:clientData/>
  </xdr:twoCellAnchor>
  <xdr:twoCellAnchor>
    <xdr:from>
      <xdr:col>11</xdr:col>
      <xdr:colOff>130078</xdr:colOff>
      <xdr:row>0</xdr:row>
      <xdr:rowOff>5383</xdr:rowOff>
    </xdr:from>
    <xdr:to>
      <xdr:col>14</xdr:col>
      <xdr:colOff>349788</xdr:colOff>
      <xdr:row>8</xdr:row>
      <xdr:rowOff>134535</xdr:rowOff>
    </xdr:to>
    <xdr:graphicFrame macro="">
      <xdr:nvGraphicFramePr>
        <xdr:cNvPr id="87" name="Chart 86">
          <a:extLst>
            <a:ext uri="{FF2B5EF4-FFF2-40B4-BE49-F238E27FC236}">
              <a16:creationId xmlns:a16="http://schemas.microsoft.com/office/drawing/2014/main" id="{51A8B87A-6068-403D-AD85-2BE3CE8A3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574524</xdr:colOff>
      <xdr:row>8</xdr:row>
      <xdr:rowOff>69142</xdr:rowOff>
    </xdr:from>
    <xdr:to>
      <xdr:col>14</xdr:col>
      <xdr:colOff>7560</xdr:colOff>
      <xdr:row>18</xdr:row>
      <xdr:rowOff>128512</xdr:rowOff>
    </xdr:to>
    <xdr:graphicFrame macro="">
      <xdr:nvGraphicFramePr>
        <xdr:cNvPr id="88" name="Chart 87">
          <a:extLst>
            <a:ext uri="{FF2B5EF4-FFF2-40B4-BE49-F238E27FC236}">
              <a16:creationId xmlns:a16="http://schemas.microsoft.com/office/drawing/2014/main" id="{2D7A5E06-5442-41EA-ACE8-72B567AD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555267</xdr:colOff>
      <xdr:row>19</xdr:row>
      <xdr:rowOff>59692</xdr:rowOff>
    </xdr:from>
    <xdr:to>
      <xdr:col>13</xdr:col>
      <xdr:colOff>343957</xdr:colOff>
      <xdr:row>20</xdr:row>
      <xdr:rowOff>57327</xdr:rowOff>
    </xdr:to>
    <xdr:sp macro="" textlink="">
      <xdr:nvSpPr>
        <xdr:cNvPr id="100" name="TextBox 99">
          <a:extLst>
            <a:ext uri="{FF2B5EF4-FFF2-40B4-BE49-F238E27FC236}">
              <a16:creationId xmlns:a16="http://schemas.microsoft.com/office/drawing/2014/main" id="{95426755-671C-4C48-8DD0-8B8EEB60F633}"/>
            </a:ext>
          </a:extLst>
        </xdr:cNvPr>
        <xdr:cNvSpPr txBox="1"/>
      </xdr:nvSpPr>
      <xdr:spPr>
        <a:xfrm flipH="1">
          <a:off x="6389330" y="3494866"/>
          <a:ext cx="2381607" cy="1784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de-DE" sz="1050"/>
            <a:t>No.</a:t>
          </a:r>
          <a:r>
            <a:rPr lang="de-DE" sz="1050" baseline="0"/>
            <a:t> of Patient by Department Referral</a:t>
          </a:r>
          <a:endParaRPr lang="de-DE" sz="1050"/>
        </a:p>
      </xdr:txBody>
    </xdr:sp>
    <xdr:clientData/>
  </xdr:twoCellAnchor>
  <xdr:twoCellAnchor editAs="oneCell">
    <xdr:from>
      <xdr:col>5</xdr:col>
      <xdr:colOff>603292</xdr:colOff>
      <xdr:row>0</xdr:row>
      <xdr:rowOff>74966</xdr:rowOff>
    </xdr:from>
    <xdr:to>
      <xdr:col>8</xdr:col>
      <xdr:colOff>401285</xdr:colOff>
      <xdr:row>2</xdr:row>
      <xdr:rowOff>167571</xdr:rowOff>
    </xdr:to>
    <mc:AlternateContent xmlns:mc="http://schemas.openxmlformats.org/markup-compatibility/2006" xmlns:a14="http://schemas.microsoft.com/office/drawing/2010/main">
      <mc:Choice Requires="a14">
        <xdr:graphicFrame macro="">
          <xdr:nvGraphicFramePr>
            <xdr:cNvPr id="101" name="Date (Year)">
              <a:extLst>
                <a:ext uri="{FF2B5EF4-FFF2-40B4-BE49-F238E27FC236}">
                  <a16:creationId xmlns:a16="http://schemas.microsoft.com/office/drawing/2014/main" id="{0483188F-E128-413D-A0ED-822F589C7E9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38508" y="74966"/>
              <a:ext cx="1739122" cy="453898"/>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0.22003</cdr:x>
      <cdr:y>0.76007</cdr:y>
    </cdr:from>
    <cdr:to>
      <cdr:x>1</cdr:x>
      <cdr:y>0.88434</cdr:y>
    </cdr:to>
    <cdr:sp macro="" textlink="">
      <cdr:nvSpPr>
        <cdr:cNvPr id="2" name="TextBox 85">
          <a:extLst xmlns:a="http://schemas.openxmlformats.org/drawingml/2006/main">
            <a:ext uri="{FF2B5EF4-FFF2-40B4-BE49-F238E27FC236}">
              <a16:creationId xmlns:a16="http://schemas.microsoft.com/office/drawing/2014/main" id="{75CAFCA9-46D1-4FB1-B0AE-53ED737066BD}"/>
            </a:ext>
          </a:extLst>
        </cdr:cNvPr>
        <cdr:cNvSpPr txBox="1"/>
      </cdr:nvSpPr>
      <cdr:spPr>
        <a:xfrm xmlns:a="http://schemas.openxmlformats.org/drawingml/2006/main" flipH="1">
          <a:off x="476376" y="1194338"/>
          <a:ext cx="1688693" cy="1952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lIns="0" tIns="0" rIns="0" bIns="0"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de-DE" sz="1050"/>
            <a:t>Gender</a:t>
          </a:r>
          <a:r>
            <a:rPr lang="de-DE" sz="1050" baseline="0"/>
            <a:t> wise Analysis</a:t>
          </a:r>
          <a:endParaRPr lang="de-DE" sz="105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275566</xdr:colOff>
      <xdr:row>2</xdr:row>
      <xdr:rowOff>83868</xdr:rowOff>
    </xdr:from>
    <xdr:to>
      <xdr:col>8</xdr:col>
      <xdr:colOff>587075</xdr:colOff>
      <xdr:row>17</xdr:row>
      <xdr:rowOff>131313</xdr:rowOff>
    </xdr:to>
    <xdr:graphicFrame macro="">
      <xdr:nvGraphicFramePr>
        <xdr:cNvPr id="2" name="Chart 1">
          <a:extLst>
            <a:ext uri="{FF2B5EF4-FFF2-40B4-BE49-F238E27FC236}">
              <a16:creationId xmlns:a16="http://schemas.microsoft.com/office/drawing/2014/main" id="{0E47200B-BDB1-4DAB-A35C-3180954EA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296534</xdr:colOff>
      <xdr:row>2</xdr:row>
      <xdr:rowOff>77878</xdr:rowOff>
    </xdr:from>
    <xdr:to>
      <xdr:col>1</xdr:col>
      <xdr:colOff>191699</xdr:colOff>
      <xdr:row>5</xdr:row>
      <xdr:rowOff>80873</xdr:rowOff>
    </xdr:to>
    <xdr:pic>
      <xdr:nvPicPr>
        <xdr:cNvPr id="4" name="Graphic 3" descr="Customer review outline">
          <a:hlinkClick xmlns:r="http://schemas.openxmlformats.org/officeDocument/2006/relationships" r:id="rId2"/>
          <a:extLst>
            <a:ext uri="{FF2B5EF4-FFF2-40B4-BE49-F238E27FC236}">
              <a16:creationId xmlns:a16="http://schemas.microsoft.com/office/drawing/2014/main" id="{18CEC421-3431-A52E-9FD8-C8F046AA02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6534" y="437312"/>
          <a:ext cx="542146" cy="5421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19</xdr:col>
      <xdr:colOff>143525</xdr:colOff>
      <xdr:row>27</xdr:row>
      <xdr:rowOff>164041</xdr:rowOff>
    </xdr:from>
    <xdr:to>
      <xdr:col>37</xdr:col>
      <xdr:colOff>333374</xdr:colOff>
      <xdr:row>51</xdr:row>
      <xdr:rowOff>161924</xdr:rowOff>
    </xdr:to>
    <xdr:graphicFrame macro="">
      <xdr:nvGraphicFramePr>
        <xdr:cNvPr id="2" name="Chart 1">
          <a:extLst>
            <a:ext uri="{FF2B5EF4-FFF2-40B4-BE49-F238E27FC236}">
              <a16:creationId xmlns:a16="http://schemas.microsoft.com/office/drawing/2014/main" id="{36895E23-1783-4A05-8CB5-5DE530B20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0.02727</cdr:y>
    </cdr:from>
    <cdr:to>
      <cdr:x>0.10994</cdr:x>
      <cdr:y>0.20152</cdr:y>
    </cdr:to>
    <cdr:pic>
      <cdr:nvPicPr>
        <cdr:cNvPr id="3" name="Graphic 2" descr="Hourglass 30%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40ECE91-F6A2-A404-6BC5-3BA9DCDB5BB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85725"/>
          <a:ext cx="547688" cy="547688"/>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263889" createdVersion="5" refreshedVersion="8" minRefreshableVersion="3" recordCount="0" supportSubquery="1" supportAdvancedDrill="1" xr:uid="{6A1042C9-9F3F-4F35-89D5-D5C47281CEEF}">
  <cacheSource type="external" connectionId="4"/>
  <cacheFields count="4">
    <cacheField name="[Measures].[Distinct Count of Patient Id]" caption="Distinct Count of Patient Id" numFmtId="0" hierarchy="24" level="32767"/>
    <cacheField name="[Calendar_Table].[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2754629" createdVersion="5" refreshedVersion="8" minRefreshableVersion="3" recordCount="0" supportSubquery="1" supportAdvancedDrill="1" xr:uid="{3D6CDEDF-A13A-4BCD-B7A2-4854BC1A7CC2}">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2986113" createdVersion="5" refreshedVersion="8" minRefreshableVersion="3" recordCount="0" supportSubquery="1" supportAdvancedDrill="1" xr:uid="{5A46195A-3C13-48D4-AD7A-82371D1D765D}">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3101852" createdVersion="5" refreshedVersion="8" minRefreshableVersion="3" recordCount="0" supportSubquery="1" supportAdvancedDrill="1" xr:uid="{542328CA-41B0-4D4E-B546-828878C0F1F2}">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3564814" createdVersion="5" refreshedVersion="8" minRefreshableVersion="3" recordCount="0" supportSubquery="1" supportAdvancedDrill="1" xr:uid="{75F4BAC9-5244-4EA8-88E2-F4277BBD173D}">
  <cacheSource type="external" connectionId="4"/>
  <cacheFields count="4">
    <cacheField name="[Calendar_Table].[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4143522" createdVersion="5" refreshedVersion="8" minRefreshableVersion="3" recordCount="0" supportSubquery="1" supportAdvancedDrill="1" xr:uid="{C92F1F92-D637-4051-AF05-B96BD757BE4D}">
  <cacheSource type="external" connectionId="4"/>
  <cacheFields count="4">
    <cacheField name="[Calendar_Table].[Date].[Date]" caption="Date" numFmtId="0" level="1">
      <sharedItems containsSemiMixedTypes="0" containsNonDate="0" containsDate="1" containsString="0" minDate="2023-02-04T00:00:00" maxDate="2023-02-13T00:00:00" count="9">
        <d v="2023-02-04T00:00:00"/>
        <d v="2023-02-05T00:00:00"/>
        <d v="2023-02-06T00:00:00"/>
        <d v="2023-02-07T00:00:00"/>
        <d v="2023-02-08T00:00:00"/>
        <d v="2023-02-09T00:00:00"/>
        <d v="2023-02-10T00:00:00"/>
        <d v="2023-02-11T00:00:00"/>
        <d v="2023-02-12T00:00:00"/>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4837961" createdVersion="5" refreshedVersion="8" minRefreshableVersion="3" recordCount="0" supportSubquery="1" supportAdvancedDrill="1" xr:uid="{E3448E57-0AC9-4372-9FA4-43AE8255C9AA}">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5532408" createdVersion="5" refreshedVersion="8" minRefreshableVersion="3" recordCount="0" supportSubquery="1" supportAdvancedDrill="1" xr:uid="{638BC16C-BA99-4DF5-A368-C11120AE8C88}">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599537" createdVersion="5" refreshedVersion="8" minRefreshableVersion="3" recordCount="0" supportSubquery="1" supportAdvancedDrill="1" xr:uid="{507BC8DE-4DAD-4448-B33E-6E9536CD07F7}">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6689816" createdVersion="5" refreshedVersion="8" minRefreshableVersion="3" recordCount="0" supportSubquery="1" supportAdvancedDrill="1" xr:uid="{D3425965-2574-498C-8718-6882BDCA47A4}">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7152778" createdVersion="5" refreshedVersion="8" minRefreshableVersion="3" recordCount="0" supportSubquery="1" supportAdvancedDrill="1" xr:uid="{CC958FD4-257B-4159-A3EB-0DC783790504}">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3437847224" createdVersion="5" refreshedVersion="8" minRefreshableVersion="3" recordCount="0" supportSubquery="1" supportAdvancedDrill="1" xr:uid="{F78D317F-31D9-4C0C-B3E1-2B5A8311D6FA}">
  <cacheSource type="external" connectionId="4"/>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89652430559" createdVersion="3" refreshedVersion="8" minRefreshableVersion="3" recordCount="0" supportSubquery="1" supportAdvancedDrill="1" xr:uid="{32825E0B-A0AC-403A-A29C-8EBEB7BC4C48}">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426400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mrun nahar koli" refreshedDate="46051.990295717595" createdVersion="3" refreshedVersion="8" minRefreshableVersion="3" recordCount="0" supportSubquery="1" supportAdvancedDrill="1" xr:uid="{2D525F11-F97D-4E79-B659-56315F63610A}">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953053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40CE5-F35B-4B47-A915-84D10AA17197}" name="PivotTable9" cacheId="1246" applyNumberFormats="0" applyBorderFormats="0" applyFontFormats="0" applyPatternFormats="0" applyAlignmentFormats="0" applyWidthHeightFormats="1" dataCaption="Values" tag="bc0d96d9-7148-4031-888a-3dc5a8667178" updatedVersion="8" minRefreshableVersion="3" subtotalHiddenItems="1" itemPrintTitles="1" createdVersion="5" indent="0" outline="1" outlineData="1" multipleFieldFilters="0" chartFormat="22">
  <location ref="E55:F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2">
      <pivotArea outline="0" collapsedLevelsAreSubtotals="1" fieldPosition="0"/>
    </format>
    <format dxfId="1">
      <pivotArea collapsedLevelsAreSubtotals="1" fieldPosition="0">
        <references count="1">
          <reference field="1" count="1">
            <x v="0"/>
          </reference>
        </references>
      </pivotArea>
    </format>
    <format dxfId="0">
      <pivotArea collapsedLevelsAreSubtotals="1" fieldPosition="0">
        <references count="1">
          <reference field="1" count="1">
            <x v="1"/>
          </reference>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F336CF-8BFE-4BF3-BC95-81C803AFF005}" name="PivotTable3" cacheId="1241" applyNumberFormats="0" applyBorderFormats="0" applyFontFormats="0" applyPatternFormats="0" applyAlignmentFormats="0" applyWidthHeightFormats="1" dataCaption="Values" tag="6d1b149a-ca5e-4a9e-9bef-c3021c0b2967"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248C51-F01B-44D1-8AA4-DA6982AF80D7}" name="PivotTable8" cacheId="1245" applyNumberFormats="0" applyBorderFormats="0" applyFontFormats="0" applyPatternFormats="0" applyAlignmentFormats="0" applyWidthHeightFormats="1" dataCaption="Values" tag="13bd5cfd-c903-43cf-9945-e921e9b9d8b8" updatedVersion="8" minRefreshableVersion="3" subtotalHiddenItems="1" itemPrintTitles="1" createdVersion="5" indent="0" outline="1" outlineData="1" multipleFieldFilters="0" chartFormat="15">
  <location ref="E40:F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267325-94E2-4342-80BC-FDFAFC939B85}" name="PivotTable2" cacheId="1240" applyNumberFormats="0" applyBorderFormats="0" applyFontFormats="0" applyPatternFormats="0" applyAlignmentFormats="0" applyWidthHeightFormats="1" dataCaption="Values" tag="032c1348-60ef-40cc-a5b6-51078aa026fe"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8DE420-1DE1-4B5E-BA76-95F3BB0C304A}" name="PivotTable7" cacheId="1244" applyNumberFormats="0" applyBorderFormats="0" applyFontFormats="0" applyPatternFormats="0" applyAlignmentFormats="0" applyWidthHeightFormats="1" dataCaption="Values" tag="b990f7cc-1482-43fb-922a-b98a603243b6" updatedVersion="8" minRefreshableVersion="3" subtotalHiddenItems="1" itemPrintTitles="1" createdVersion="5" indent="0" outline="1" outlineData="1" multipleFieldFilters="0" chartFormat="12">
  <location ref="A3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9">
      <pivotArea outline="0" collapsedLevelsAreSubtotals="1" fieldPosition="0"/>
    </format>
    <format dxfId="8">
      <pivotArea collapsedLevelsAreSubtotals="1" fieldPosition="0">
        <references count="1">
          <reference field="1" count="1">
            <x v="0"/>
          </reference>
        </references>
      </pivotArea>
    </format>
    <format dxfId="7">
      <pivotArea collapsedLevelsAreSubtotals="1" fieldPosition="0">
        <references count="1">
          <reference field="1" count="1">
            <x v="1"/>
          </reference>
        </references>
      </pivotArea>
    </format>
    <format dxfId="6">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CE5F01-7817-44AE-806E-1304F283AF73}" name="PivotTable12" cacheId="1249" applyNumberFormats="0" applyBorderFormats="0" applyFontFormats="0" applyPatternFormats="0" applyAlignmentFormats="0" applyWidthHeightFormats="1" dataCaption="Values" tag="9348cce7-e3e6-4842-91ab-132f7361739d" updatedVersion="8" minRefreshableVersion="3" subtotalHiddenItems="1" itemPrintTitles="1" createdVersion="5" indent="0" outline="1" outlineData="1" multipleFieldFilters="0" chartFormat="35">
  <location ref="I71:I7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2390C3-B332-4959-8C29-99E8D2041DE7}" name="PivotTable11" cacheId="1248" applyNumberFormats="0" applyBorderFormats="0" applyFontFormats="0" applyPatternFormats="0" applyAlignmentFormats="0" applyWidthHeightFormats="1" dataCaption="Values" tag="d88eb1b5-7323-4ef9-905b-6e2eb801e65d" updatedVersion="8" minRefreshableVersion="3" subtotalHiddenItems="1" itemPrintTitles="1" createdVersion="5" indent="0" outline="1" outlineData="1" multipleFieldFilters="0" chartFormat="35">
  <location ref="E71:F8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6"/>
    </i>
    <i>
      <x v="1"/>
    </i>
    <i>
      <x v="5"/>
    </i>
    <i>
      <x v="2"/>
    </i>
    <i>
      <x v="4"/>
    </i>
    <i t="grand">
      <x/>
    </i>
  </rowItems>
  <colItems count="1">
    <i/>
  </colItems>
  <dataFields count="1">
    <dataField name="Count of Department Referral" fld="2" subtotal="count" baseField="0"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ACDEF7-C4E1-4D6F-845D-F9E29795A0D1}" name="PivotTable1" cacheId="1239" applyNumberFormats="0" applyBorderFormats="0" applyFontFormats="0" applyPatternFormats="0" applyAlignmentFormats="0" applyWidthHeightFormats="1" dataCaption="Values" tag="2b00a437-919c-4adb-b27a-616818967e8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B0A3D1-B325-4A13-8273-B084138DB38E}" name="PivotTable6" cacheId="1243" applyNumberFormats="0" applyBorderFormats="0" applyFontFormats="0" applyPatternFormats="0" applyAlignmentFormats="0" applyWidthHeightFormats="1" dataCaption="Values" tag="724713c4-dc8f-4821-8299-2c945217a35d" updatedVersion="8" minRefreshableVersion="3" subtotalHiddenItems="1" itemPrintTitles="1" createdVersion="5" indent="0" outline="1" outlineData="1" multipleFieldFilters="0" chartFormat="30">
  <location ref="M9:N19" firstHeaderRow="1" firstDataRow="1" firstDataCol="1"/>
  <pivotFields count="4">
    <pivotField axis="axisRow" allDrilled="1" subtotalTop="0" showAll="0"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13">
      <pivotArea collapsedLevelsAreSubtotals="1" fieldPosition="0">
        <references count="1">
          <reference field="0" count="0"/>
        </references>
      </pivotArea>
    </format>
  </formats>
  <chartFormats count="4">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EB6ADE-7FC4-466D-931E-831E9CF8B1DD}" name="PivotTable10" cacheId="1247" applyNumberFormats="0" applyBorderFormats="0" applyFontFormats="0" applyPatternFormats="0" applyAlignmentFormats="0" applyWidthHeightFormats="1" dataCaption="Values" tag="856904a0-b103-4e8e-9c71-db9e3c14abd3" updatedVersion="8" minRefreshableVersion="3" subtotalHiddenItems="1" itemPrintTitles="1" createdVersion="5" indent="0" outline="1" outlineData="1" multipleFieldFilters="0" chartFormat="27">
  <location ref="E63:F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4">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caption="Count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E69F5-14D9-4C64-99F3-C0AB51D1A2AF}" name="PivotTable5" cacheId="1242" applyNumberFormats="0" applyBorderFormats="0" applyFontFormats="0" applyPatternFormats="0" applyAlignmentFormats="0" applyWidthHeightFormats="1" dataCaption="Values" tag="9ed799c9-9ea7-4101-87ce-9a7f49dfc94f" updatedVersion="8" minRefreshableVersion="3" subtotalHiddenItems="1" itemPrintTitles="1" createdVersion="5" indent="0" outline="1" outlineData="1" multipleFieldFilters="0" chartFormat="19">
  <location ref="H10:I20" firstHeaderRow="1" firstDataRow="1" firstDataCol="1"/>
  <pivotFields count="4">
    <pivotField axis="axisRow" allDrilled="1" subtotalTop="0" showAll="0"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dataFields>
  <formats count="1">
    <format dxfId="15">
      <pivotArea collapsedLevelsAreSubtotals="1" fieldPosition="0">
        <references count="1">
          <reference field="0" count="0"/>
        </references>
      </pivotArea>
    </format>
  </formats>
  <chartFormats count="2">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6D0DDA-CD2B-40EE-8645-0AC1A907128B}" name="PivotTable4" cacheId="1238" applyNumberFormats="0" applyBorderFormats="0" applyFontFormats="0" applyPatternFormats="0" applyAlignmentFormats="0" applyWidthHeightFormats="1" dataCaption="Values" tag="74343f13-984b-4ba2-8b6d-00f35709c82d" updatedVersion="8" minRefreshableVersion="3" subtotalHiddenItems="1" itemPrintTitles="1" createdVersion="5" indent="0" outline="1" outlineData="1" multipleFieldFilters="0" chartFormat="12">
  <location ref="D10:E20" firstHeaderRow="1" firstDataRow="1" firstDataCol="1"/>
  <pivotFields count="4">
    <pivotField dataField="1" subtotalTop="0" showAll="0" defaultSubtotal="0"/>
    <pivotField axis="axisRow" allDrilled="1" subtotalTop="0" showAll="0"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FD726F5-0337-41B7-A581-D58FBBA6333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C579810-BFA8-4EF2-ADB8-C5FF4581FD4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52426400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CACB6A3-34F2-4F64-98EB-AE90B829C290}"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9530531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DE32C30-F2AE-4111-A9AC-8015063E9CFC}" cache="Slicer_Date__Month" caption="Date (Month)" showCaption="0" level="1" style="hhhhh" rowHeight="365760"/>
  <slicer name="Date (Year)" xr10:uid="{703366AE-E4F1-4A03-B279-76989C1998AE}" cache="Slicer_Date__Year" caption="Date (Year)" columnCount="2" showCaption="0" level="1" style="SlicerStyleDark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2EC9E-E62D-414E-82D0-E38E992FEE6C}" name="Table_ExternalData_1" displayName="Table_ExternalData_1" ref="A3:M302" tableType="queryTable" totalsRowShown="0">
  <autoFilter ref="A3:M302" xr:uid="{40D2EC9E-E62D-414E-82D0-E38E992FEE6C}"/>
  <tableColumns count="13">
    <tableColumn id="1" xr3:uid="{302747A2-DBE2-4132-9364-B5AE657C2196}" uniqueName="1" name="Hospital Emergency Room Data[Patient Id]" queryTableFieldId="1"/>
    <tableColumn id="2" xr3:uid="{F08F6233-5A77-42F4-A11B-8A865CE11D5F}" uniqueName="2" name="Hospital Emergency Room Data[Patient Admission Date]" queryTableFieldId="2" dataDxfId="17"/>
    <tableColumn id="3" xr3:uid="{1A32F6B9-E4C3-4FA0-8506-694FD113A8BC}" uniqueName="3" name="Hospital Emergency Room Data[Patient Admission Time]" queryTableFieldId="3" dataDxfId="16"/>
    <tableColumn id="4" xr3:uid="{2AA67A4B-D532-4B0C-A92A-DBF944364CE8}" uniqueName="4" name="Hospital Emergency Room Data[Merged]" queryTableFieldId="4"/>
    <tableColumn id="5" xr3:uid="{CF7F0593-E9F9-49C6-96BB-72228336095D}" uniqueName="5" name="Hospital Emergency Room Data[Patient Gender]" queryTableFieldId="5"/>
    <tableColumn id="6" xr3:uid="{23EEAF43-2EF3-4CEA-A4E6-C477FC03BDB1}" uniqueName="6" name="Hospital Emergency Room Data[Patient Age]" queryTableFieldId="6"/>
    <tableColumn id="7" xr3:uid="{4A7A6543-9E13-45F5-89E4-B555FBE33A55}" uniqueName="7" name="Hospital Emergency Room Data[Patient Race]" queryTableFieldId="7"/>
    <tableColumn id="8" xr3:uid="{8AB1A2FA-42E0-44D8-80B5-AEA0DE2ACEB3}" uniqueName="8" name="Hospital Emergency Room Data[Department Referral]" queryTableFieldId="8"/>
    <tableColumn id="9" xr3:uid="{C40E6A27-25CC-4323-A32B-A0F51DA77E1D}" uniqueName="9" name="Hospital Emergency Room Data[Patient Admission Flag]" queryTableFieldId="9"/>
    <tableColumn id="10" xr3:uid="{DD4435D2-17B9-4616-A929-DC3E1D38BBDE}" uniqueName="10" name="Hospital Emergency Room Data[Patient Satisfaction Score]" queryTableFieldId="10"/>
    <tableColumn id="11" xr3:uid="{E356740C-16CF-4FBB-92F4-FED987AA3388}" uniqueName="11" name="Hospital Emergency Room Data[Patient Waittime]" queryTableFieldId="11"/>
    <tableColumn id="12" xr3:uid="{F8B478E2-B638-4D32-90D2-6738FC83C71E}" uniqueName="12" name="Hospital Emergency Room Data[Age Group]" queryTableFieldId="12"/>
    <tableColumn id="13" xr3:uid="{96883CEB-BF2C-477F-8126-D857B78E25C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41A9-C947-4575-BF38-D93503FDFD05}">
  <dimension ref="A1:M302"/>
  <sheetViews>
    <sheetView workbookViewId="0"/>
  </sheetViews>
  <sheetFormatPr defaultRowHeight="14.25" x14ac:dyDescent="0.45"/>
  <cols>
    <col min="1" max="1" width="36.9296875" bestFit="1" customWidth="1"/>
    <col min="2" max="2" width="47.9296875" bestFit="1" customWidth="1"/>
    <col min="3" max="3" width="48.06640625" bestFit="1" customWidth="1"/>
    <col min="4" max="4" width="35.33203125" bestFit="1" customWidth="1"/>
    <col min="5" max="5" width="41.3984375" bestFit="1" customWidth="1"/>
    <col min="6" max="6" width="38.33203125" bestFit="1" customWidth="1"/>
    <col min="7" max="7" width="39.46484375" bestFit="1" customWidth="1"/>
    <col min="8" max="8" width="45.9296875" bestFit="1" customWidth="1"/>
    <col min="9" max="9" width="47.3984375" bestFit="1" customWidth="1"/>
    <col min="10" max="10" width="50.06640625" bestFit="1" customWidth="1"/>
    <col min="11" max="11" width="42.6640625" bestFit="1" customWidth="1"/>
    <col min="12" max="12" width="37.59765625" bestFit="1" customWidth="1"/>
    <col min="13" max="13" width="46.1328125" bestFit="1" customWidth="1"/>
  </cols>
  <sheetData>
    <row r="1" spans="1:13" x14ac:dyDescent="0.45">
      <c r="A1" s="10" t="s">
        <v>649</v>
      </c>
    </row>
    <row r="3" spans="1:13" x14ac:dyDescent="0.45">
      <c r="A3" t="s">
        <v>9</v>
      </c>
      <c r="B3" t="s">
        <v>10</v>
      </c>
      <c r="C3" t="s">
        <v>11</v>
      </c>
      <c r="D3" t="s">
        <v>12</v>
      </c>
      <c r="E3" t="s">
        <v>13</v>
      </c>
      <c r="F3" t="s">
        <v>14</v>
      </c>
      <c r="G3" t="s">
        <v>15</v>
      </c>
      <c r="H3" t="s">
        <v>16</v>
      </c>
      <c r="I3" t="s">
        <v>17</v>
      </c>
      <c r="J3" t="s">
        <v>18</v>
      </c>
      <c r="K3" t="s">
        <v>19</v>
      </c>
      <c r="L3" t="s">
        <v>20</v>
      </c>
      <c r="M3" t="s">
        <v>21</v>
      </c>
    </row>
    <row r="4" spans="1:13" x14ac:dyDescent="0.45">
      <c r="A4" t="s">
        <v>22</v>
      </c>
      <c r="B4" s="8">
        <v>45050</v>
      </c>
      <c r="C4" s="9">
        <v>0.75416666666666665</v>
      </c>
      <c r="D4" t="s">
        <v>23</v>
      </c>
      <c r="E4" t="s">
        <v>24</v>
      </c>
      <c r="F4">
        <v>64</v>
      </c>
      <c r="G4" t="s">
        <v>25</v>
      </c>
      <c r="H4" t="s">
        <v>26</v>
      </c>
      <c r="I4" t="s">
        <v>27</v>
      </c>
      <c r="K4">
        <v>28</v>
      </c>
      <c r="L4" t="s">
        <v>28</v>
      </c>
      <c r="M4" t="s">
        <v>29</v>
      </c>
    </row>
    <row r="5" spans="1:13" x14ac:dyDescent="0.45">
      <c r="A5" t="s">
        <v>30</v>
      </c>
      <c r="B5" s="8">
        <v>45050</v>
      </c>
      <c r="C5" s="9">
        <v>0.18819444444444444</v>
      </c>
      <c r="D5" t="s">
        <v>31</v>
      </c>
      <c r="E5" t="s">
        <v>24</v>
      </c>
      <c r="F5">
        <v>15</v>
      </c>
      <c r="G5" t="s">
        <v>25</v>
      </c>
      <c r="H5" t="s">
        <v>26</v>
      </c>
      <c r="I5" t="s">
        <v>27</v>
      </c>
      <c r="K5">
        <v>55</v>
      </c>
      <c r="L5" t="s">
        <v>32</v>
      </c>
      <c r="M5" t="s">
        <v>33</v>
      </c>
    </row>
    <row r="6" spans="1:13" x14ac:dyDescent="0.45">
      <c r="A6" t="s">
        <v>34</v>
      </c>
      <c r="B6" s="8">
        <v>45053</v>
      </c>
      <c r="C6" s="9">
        <v>0.73472222222222228</v>
      </c>
      <c r="D6" t="s">
        <v>35</v>
      </c>
      <c r="E6" t="s">
        <v>24</v>
      </c>
      <c r="F6">
        <v>42</v>
      </c>
      <c r="G6" t="s">
        <v>25</v>
      </c>
      <c r="H6" t="s">
        <v>26</v>
      </c>
      <c r="I6" t="s">
        <v>27</v>
      </c>
      <c r="K6">
        <v>16</v>
      </c>
      <c r="L6" t="s">
        <v>36</v>
      </c>
      <c r="M6" t="s">
        <v>29</v>
      </c>
    </row>
    <row r="7" spans="1:13" x14ac:dyDescent="0.45">
      <c r="A7" t="s">
        <v>37</v>
      </c>
      <c r="B7" s="8">
        <v>45054</v>
      </c>
      <c r="C7" s="9">
        <v>0.21527777777777779</v>
      </c>
      <c r="D7" t="s">
        <v>38</v>
      </c>
      <c r="E7" t="s">
        <v>24</v>
      </c>
      <c r="F7">
        <v>57</v>
      </c>
      <c r="G7" t="s">
        <v>25</v>
      </c>
      <c r="H7" t="s">
        <v>26</v>
      </c>
      <c r="I7" t="s">
        <v>27</v>
      </c>
      <c r="K7">
        <v>40</v>
      </c>
      <c r="L7" t="s">
        <v>39</v>
      </c>
      <c r="M7" t="s">
        <v>33</v>
      </c>
    </row>
    <row r="8" spans="1:13" x14ac:dyDescent="0.45">
      <c r="A8" t="s">
        <v>40</v>
      </c>
      <c r="B8" s="8">
        <v>45057</v>
      </c>
      <c r="C8" s="9">
        <v>0.31736111111111109</v>
      </c>
      <c r="D8" t="s">
        <v>41</v>
      </c>
      <c r="E8" t="s">
        <v>24</v>
      </c>
      <c r="F8">
        <v>70</v>
      </c>
      <c r="G8" t="s">
        <v>25</v>
      </c>
      <c r="H8" t="s">
        <v>26</v>
      </c>
      <c r="I8" t="s">
        <v>27</v>
      </c>
      <c r="K8">
        <v>36</v>
      </c>
      <c r="L8" t="s">
        <v>28</v>
      </c>
      <c r="M8" t="s">
        <v>33</v>
      </c>
    </row>
    <row r="9" spans="1:13" x14ac:dyDescent="0.45">
      <c r="A9" t="s">
        <v>42</v>
      </c>
      <c r="B9" s="8">
        <v>45415</v>
      </c>
      <c r="C9" s="9">
        <v>0.70347222222222228</v>
      </c>
      <c r="D9" t="s">
        <v>43</v>
      </c>
      <c r="E9" t="s">
        <v>24</v>
      </c>
      <c r="F9">
        <v>19</v>
      </c>
      <c r="G9" t="s">
        <v>25</v>
      </c>
      <c r="H9" t="s">
        <v>26</v>
      </c>
      <c r="I9" t="s">
        <v>27</v>
      </c>
      <c r="K9">
        <v>13</v>
      </c>
      <c r="L9" t="s">
        <v>32</v>
      </c>
      <c r="M9" t="s">
        <v>29</v>
      </c>
    </row>
    <row r="10" spans="1:13" x14ac:dyDescent="0.45">
      <c r="A10" t="s">
        <v>44</v>
      </c>
      <c r="B10" s="8">
        <v>45415</v>
      </c>
      <c r="C10" s="9">
        <v>0.58611111111111114</v>
      </c>
      <c r="D10" t="s">
        <v>45</v>
      </c>
      <c r="E10" t="s">
        <v>24</v>
      </c>
      <c r="F10">
        <v>51</v>
      </c>
      <c r="G10" t="s">
        <v>25</v>
      </c>
      <c r="H10" t="s">
        <v>26</v>
      </c>
      <c r="I10" t="s">
        <v>27</v>
      </c>
      <c r="K10">
        <v>20</v>
      </c>
      <c r="L10" t="s">
        <v>39</v>
      </c>
      <c r="M10" t="s">
        <v>29</v>
      </c>
    </row>
    <row r="11" spans="1:13" x14ac:dyDescent="0.45">
      <c r="A11" t="s">
        <v>46</v>
      </c>
      <c r="B11" s="8">
        <v>45419</v>
      </c>
      <c r="C11" s="9">
        <v>0.77847222222222223</v>
      </c>
      <c r="D11" t="s">
        <v>47</v>
      </c>
      <c r="E11" t="s">
        <v>24</v>
      </c>
      <c r="F11">
        <v>17</v>
      </c>
      <c r="G11" t="s">
        <v>25</v>
      </c>
      <c r="H11" t="s">
        <v>26</v>
      </c>
      <c r="I11" t="s">
        <v>27</v>
      </c>
      <c r="K11">
        <v>15</v>
      </c>
      <c r="L11" t="s">
        <v>32</v>
      </c>
      <c r="M11" t="s">
        <v>29</v>
      </c>
    </row>
    <row r="12" spans="1:13" x14ac:dyDescent="0.45">
      <c r="A12" t="s">
        <v>48</v>
      </c>
      <c r="B12" s="8">
        <v>45420</v>
      </c>
      <c r="C12" s="9">
        <v>0.16041666666666668</v>
      </c>
      <c r="D12" t="s">
        <v>49</v>
      </c>
      <c r="E12" t="s">
        <v>24</v>
      </c>
      <c r="F12">
        <v>17</v>
      </c>
      <c r="G12" t="s">
        <v>25</v>
      </c>
      <c r="H12" t="s">
        <v>26</v>
      </c>
      <c r="I12" t="s">
        <v>27</v>
      </c>
      <c r="K12">
        <v>54</v>
      </c>
      <c r="L12" t="s">
        <v>32</v>
      </c>
      <c r="M12" t="s">
        <v>33</v>
      </c>
    </row>
    <row r="13" spans="1:13" x14ac:dyDescent="0.45">
      <c r="A13" t="s">
        <v>50</v>
      </c>
      <c r="B13" s="8">
        <v>45420</v>
      </c>
      <c r="C13" s="9">
        <v>5.2777777777777778E-2</v>
      </c>
      <c r="D13" t="s">
        <v>51</v>
      </c>
      <c r="E13" t="s">
        <v>24</v>
      </c>
      <c r="F13">
        <v>50</v>
      </c>
      <c r="G13" t="s">
        <v>25</v>
      </c>
      <c r="H13" t="s">
        <v>26</v>
      </c>
      <c r="I13" t="s">
        <v>27</v>
      </c>
      <c r="K13">
        <v>13</v>
      </c>
      <c r="L13" t="s">
        <v>36</v>
      </c>
      <c r="M13" t="s">
        <v>29</v>
      </c>
    </row>
    <row r="14" spans="1:13" x14ac:dyDescent="0.45">
      <c r="A14" t="s">
        <v>52</v>
      </c>
      <c r="B14" s="8">
        <v>45050</v>
      </c>
      <c r="C14" s="9">
        <v>0.27291666666666664</v>
      </c>
      <c r="D14" t="s">
        <v>53</v>
      </c>
      <c r="E14" t="s">
        <v>54</v>
      </c>
      <c r="F14">
        <v>4</v>
      </c>
      <c r="G14" t="s">
        <v>25</v>
      </c>
      <c r="H14" t="s">
        <v>26</v>
      </c>
      <c r="I14" t="s">
        <v>27</v>
      </c>
      <c r="K14">
        <v>22</v>
      </c>
      <c r="L14" t="s">
        <v>55</v>
      </c>
      <c r="M14" t="s">
        <v>29</v>
      </c>
    </row>
    <row r="15" spans="1:13" x14ac:dyDescent="0.45">
      <c r="A15" t="s">
        <v>56</v>
      </c>
      <c r="B15" s="8">
        <v>45051</v>
      </c>
      <c r="C15" s="9">
        <v>0.22569444444444445</v>
      </c>
      <c r="D15" t="s">
        <v>57</v>
      </c>
      <c r="E15" t="s">
        <v>54</v>
      </c>
      <c r="F15">
        <v>26</v>
      </c>
      <c r="G15" t="s">
        <v>25</v>
      </c>
      <c r="H15" t="s">
        <v>26</v>
      </c>
      <c r="I15" t="s">
        <v>27</v>
      </c>
      <c r="K15">
        <v>11</v>
      </c>
      <c r="L15" t="s">
        <v>58</v>
      </c>
      <c r="M15" t="s">
        <v>29</v>
      </c>
    </row>
    <row r="16" spans="1:13" x14ac:dyDescent="0.45">
      <c r="A16" t="s">
        <v>59</v>
      </c>
      <c r="B16" s="8">
        <v>45052</v>
      </c>
      <c r="C16" s="9">
        <v>0.50208333333333333</v>
      </c>
      <c r="D16" t="s">
        <v>60</v>
      </c>
      <c r="E16" t="s">
        <v>54</v>
      </c>
      <c r="F16">
        <v>67</v>
      </c>
      <c r="G16" t="s">
        <v>25</v>
      </c>
      <c r="H16" t="s">
        <v>26</v>
      </c>
      <c r="I16" t="s">
        <v>27</v>
      </c>
      <c r="K16">
        <v>51</v>
      </c>
      <c r="L16" t="s">
        <v>28</v>
      </c>
      <c r="M16" t="s">
        <v>33</v>
      </c>
    </row>
    <row r="17" spans="1:13" x14ac:dyDescent="0.45">
      <c r="A17" t="s">
        <v>61</v>
      </c>
      <c r="B17" s="8">
        <v>45052</v>
      </c>
      <c r="C17" s="9">
        <v>8.3333333333333329E-2</v>
      </c>
      <c r="D17" t="s">
        <v>62</v>
      </c>
      <c r="E17" t="s">
        <v>54</v>
      </c>
      <c r="F17">
        <v>27</v>
      </c>
      <c r="G17" t="s">
        <v>25</v>
      </c>
      <c r="H17" t="s">
        <v>26</v>
      </c>
      <c r="I17" t="s">
        <v>27</v>
      </c>
      <c r="K17">
        <v>37</v>
      </c>
      <c r="L17" t="s">
        <v>58</v>
      </c>
      <c r="M17" t="s">
        <v>33</v>
      </c>
    </row>
    <row r="18" spans="1:13" x14ac:dyDescent="0.45">
      <c r="A18" t="s">
        <v>63</v>
      </c>
      <c r="B18" s="8">
        <v>45054</v>
      </c>
      <c r="C18" s="9">
        <v>0.8618055555555556</v>
      </c>
      <c r="D18" t="s">
        <v>64</v>
      </c>
      <c r="E18" t="s">
        <v>54</v>
      </c>
      <c r="F18">
        <v>11</v>
      </c>
      <c r="G18" t="s">
        <v>25</v>
      </c>
      <c r="H18" t="s">
        <v>26</v>
      </c>
      <c r="I18" t="s">
        <v>27</v>
      </c>
      <c r="K18">
        <v>52</v>
      </c>
      <c r="L18" t="s">
        <v>32</v>
      </c>
      <c r="M18" t="s">
        <v>33</v>
      </c>
    </row>
    <row r="19" spans="1:13" x14ac:dyDescent="0.45">
      <c r="A19" t="s">
        <v>65</v>
      </c>
      <c r="B19" s="8">
        <v>45414</v>
      </c>
      <c r="C19" s="9">
        <v>0.46041666666666664</v>
      </c>
      <c r="D19" t="s">
        <v>66</v>
      </c>
      <c r="E19" t="s">
        <v>54</v>
      </c>
      <c r="F19">
        <v>79</v>
      </c>
      <c r="G19" t="s">
        <v>25</v>
      </c>
      <c r="H19" t="s">
        <v>26</v>
      </c>
      <c r="I19" t="s">
        <v>27</v>
      </c>
      <c r="K19">
        <v>46</v>
      </c>
      <c r="L19" t="s">
        <v>67</v>
      </c>
      <c r="M19" t="s">
        <v>33</v>
      </c>
    </row>
    <row r="20" spans="1:13" x14ac:dyDescent="0.45">
      <c r="A20" t="s">
        <v>68</v>
      </c>
      <c r="B20" s="8">
        <v>45415</v>
      </c>
      <c r="C20" s="9">
        <v>0.69097222222222221</v>
      </c>
      <c r="D20" t="s">
        <v>69</v>
      </c>
      <c r="E20" t="s">
        <v>54</v>
      </c>
      <c r="F20">
        <v>26</v>
      </c>
      <c r="G20" t="s">
        <v>25</v>
      </c>
      <c r="H20" t="s">
        <v>26</v>
      </c>
      <c r="I20" t="s">
        <v>27</v>
      </c>
      <c r="K20">
        <v>28</v>
      </c>
      <c r="L20" t="s">
        <v>58</v>
      </c>
      <c r="M20" t="s">
        <v>29</v>
      </c>
    </row>
    <row r="21" spans="1:13" x14ac:dyDescent="0.45">
      <c r="A21" t="s">
        <v>70</v>
      </c>
      <c r="B21" s="8">
        <v>45419</v>
      </c>
      <c r="C21" s="9">
        <v>7.9166666666666663E-2</v>
      </c>
      <c r="D21" t="s">
        <v>71</v>
      </c>
      <c r="E21" t="s">
        <v>54</v>
      </c>
      <c r="F21">
        <v>18</v>
      </c>
      <c r="G21" t="s">
        <v>25</v>
      </c>
      <c r="H21" t="s">
        <v>26</v>
      </c>
      <c r="I21" t="s">
        <v>27</v>
      </c>
      <c r="K21">
        <v>41</v>
      </c>
      <c r="L21" t="s">
        <v>32</v>
      </c>
      <c r="M21" t="s">
        <v>33</v>
      </c>
    </row>
    <row r="22" spans="1:13" x14ac:dyDescent="0.45">
      <c r="A22" t="s">
        <v>72</v>
      </c>
      <c r="B22" s="8">
        <v>45422</v>
      </c>
      <c r="C22" s="9">
        <v>0.47222222222222221</v>
      </c>
      <c r="D22" t="s">
        <v>73</v>
      </c>
      <c r="E22" t="s">
        <v>54</v>
      </c>
      <c r="F22">
        <v>26</v>
      </c>
      <c r="G22" t="s">
        <v>25</v>
      </c>
      <c r="H22" t="s">
        <v>26</v>
      </c>
      <c r="I22" t="s">
        <v>27</v>
      </c>
      <c r="K22">
        <v>21</v>
      </c>
      <c r="L22" t="s">
        <v>58</v>
      </c>
      <c r="M22" t="s">
        <v>29</v>
      </c>
    </row>
    <row r="23" spans="1:13" x14ac:dyDescent="0.45">
      <c r="A23" t="s">
        <v>74</v>
      </c>
      <c r="B23" s="8">
        <v>45053</v>
      </c>
      <c r="C23" s="9">
        <v>7.4999999999999997E-2</v>
      </c>
      <c r="D23" t="s">
        <v>75</v>
      </c>
      <c r="E23" t="s">
        <v>24</v>
      </c>
      <c r="F23">
        <v>74</v>
      </c>
      <c r="G23" t="s">
        <v>25</v>
      </c>
      <c r="H23" t="s">
        <v>26</v>
      </c>
      <c r="I23" t="s">
        <v>76</v>
      </c>
      <c r="K23">
        <v>28</v>
      </c>
      <c r="L23" t="s">
        <v>67</v>
      </c>
      <c r="M23" t="s">
        <v>29</v>
      </c>
    </row>
    <row r="24" spans="1:13" x14ac:dyDescent="0.45">
      <c r="A24" t="s">
        <v>77</v>
      </c>
      <c r="B24" s="8">
        <v>45053</v>
      </c>
      <c r="C24" s="9">
        <v>0.83472222222222225</v>
      </c>
      <c r="D24" t="s">
        <v>78</v>
      </c>
      <c r="E24" t="s">
        <v>24</v>
      </c>
      <c r="F24">
        <v>24</v>
      </c>
      <c r="G24" t="s">
        <v>25</v>
      </c>
      <c r="H24" t="s">
        <v>26</v>
      </c>
      <c r="I24" t="s">
        <v>76</v>
      </c>
      <c r="K24">
        <v>20</v>
      </c>
      <c r="L24" t="s">
        <v>58</v>
      </c>
      <c r="M24" t="s">
        <v>29</v>
      </c>
    </row>
    <row r="25" spans="1:13" x14ac:dyDescent="0.45">
      <c r="A25" t="s">
        <v>79</v>
      </c>
      <c r="B25" s="8">
        <v>45054</v>
      </c>
      <c r="C25" s="9">
        <v>0.31111111111111112</v>
      </c>
      <c r="D25" t="s">
        <v>80</v>
      </c>
      <c r="E25" t="s">
        <v>24</v>
      </c>
      <c r="F25">
        <v>76</v>
      </c>
      <c r="G25" t="s">
        <v>25</v>
      </c>
      <c r="H25" t="s">
        <v>26</v>
      </c>
      <c r="I25" t="s">
        <v>76</v>
      </c>
      <c r="K25">
        <v>39</v>
      </c>
      <c r="L25" t="s">
        <v>67</v>
      </c>
      <c r="M25" t="s">
        <v>33</v>
      </c>
    </row>
    <row r="26" spans="1:13" x14ac:dyDescent="0.45">
      <c r="A26" t="s">
        <v>81</v>
      </c>
      <c r="B26" s="8">
        <v>45055</v>
      </c>
      <c r="C26" s="9">
        <v>0.18263888888888888</v>
      </c>
      <c r="D26" t="s">
        <v>82</v>
      </c>
      <c r="E26" t="s">
        <v>24</v>
      </c>
      <c r="F26">
        <v>4</v>
      </c>
      <c r="G26" t="s">
        <v>25</v>
      </c>
      <c r="H26" t="s">
        <v>26</v>
      </c>
      <c r="I26" t="s">
        <v>76</v>
      </c>
      <c r="K26">
        <v>32</v>
      </c>
      <c r="L26" t="s">
        <v>55</v>
      </c>
      <c r="M26" t="s">
        <v>33</v>
      </c>
    </row>
    <row r="27" spans="1:13" x14ac:dyDescent="0.45">
      <c r="A27" t="s">
        <v>83</v>
      </c>
      <c r="B27" s="8">
        <v>45055</v>
      </c>
      <c r="C27" s="9">
        <v>0.49166666666666664</v>
      </c>
      <c r="D27" t="s">
        <v>84</v>
      </c>
      <c r="E27" t="s">
        <v>24</v>
      </c>
      <c r="F27">
        <v>6</v>
      </c>
      <c r="G27" t="s">
        <v>25</v>
      </c>
      <c r="H27" t="s">
        <v>26</v>
      </c>
      <c r="I27" t="s">
        <v>76</v>
      </c>
      <c r="K27">
        <v>55</v>
      </c>
      <c r="L27" t="s">
        <v>55</v>
      </c>
      <c r="M27" t="s">
        <v>33</v>
      </c>
    </row>
    <row r="28" spans="1:13" x14ac:dyDescent="0.45">
      <c r="A28" t="s">
        <v>85</v>
      </c>
      <c r="B28" s="8">
        <v>45056</v>
      </c>
      <c r="C28" s="9">
        <v>0.39652777777777776</v>
      </c>
      <c r="D28" t="s">
        <v>86</v>
      </c>
      <c r="E28" t="s">
        <v>24</v>
      </c>
      <c r="F28">
        <v>39</v>
      </c>
      <c r="G28" t="s">
        <v>25</v>
      </c>
      <c r="H28" t="s">
        <v>26</v>
      </c>
      <c r="I28" t="s">
        <v>76</v>
      </c>
      <c r="K28">
        <v>20</v>
      </c>
      <c r="L28" t="s">
        <v>87</v>
      </c>
      <c r="M28" t="s">
        <v>29</v>
      </c>
    </row>
    <row r="29" spans="1:13" x14ac:dyDescent="0.45">
      <c r="A29" t="s">
        <v>88</v>
      </c>
      <c r="B29" s="8">
        <v>45058</v>
      </c>
      <c r="C29" s="9">
        <v>0.13055555555555556</v>
      </c>
      <c r="D29" t="s">
        <v>89</v>
      </c>
      <c r="E29" t="s">
        <v>24</v>
      </c>
      <c r="F29">
        <v>29</v>
      </c>
      <c r="G29" t="s">
        <v>25</v>
      </c>
      <c r="H29" t="s">
        <v>26</v>
      </c>
      <c r="I29" t="s">
        <v>76</v>
      </c>
      <c r="K29">
        <v>38</v>
      </c>
      <c r="L29" t="s">
        <v>58</v>
      </c>
      <c r="M29" t="s">
        <v>33</v>
      </c>
    </row>
    <row r="30" spans="1:13" x14ac:dyDescent="0.45">
      <c r="A30" t="s">
        <v>90</v>
      </c>
      <c r="B30" s="8">
        <v>45416</v>
      </c>
      <c r="C30" s="9">
        <v>0.47847222222222224</v>
      </c>
      <c r="D30" t="s">
        <v>91</v>
      </c>
      <c r="E30" t="s">
        <v>24</v>
      </c>
      <c r="F30">
        <v>20</v>
      </c>
      <c r="G30" t="s">
        <v>25</v>
      </c>
      <c r="H30" t="s">
        <v>26</v>
      </c>
      <c r="I30" t="s">
        <v>76</v>
      </c>
      <c r="K30">
        <v>17</v>
      </c>
      <c r="L30" t="s">
        <v>32</v>
      </c>
      <c r="M30" t="s">
        <v>29</v>
      </c>
    </row>
    <row r="31" spans="1:13" x14ac:dyDescent="0.45">
      <c r="A31" t="s">
        <v>92</v>
      </c>
      <c r="B31" s="8">
        <v>45419</v>
      </c>
      <c r="C31" s="9">
        <v>0.60138888888888886</v>
      </c>
      <c r="D31" t="s">
        <v>93</v>
      </c>
      <c r="E31" t="s">
        <v>24</v>
      </c>
      <c r="F31">
        <v>15</v>
      </c>
      <c r="G31" t="s">
        <v>25</v>
      </c>
      <c r="H31" t="s">
        <v>26</v>
      </c>
      <c r="I31" t="s">
        <v>76</v>
      </c>
      <c r="K31">
        <v>22</v>
      </c>
      <c r="L31" t="s">
        <v>32</v>
      </c>
      <c r="M31" t="s">
        <v>29</v>
      </c>
    </row>
    <row r="32" spans="1:13" x14ac:dyDescent="0.45">
      <c r="A32" t="s">
        <v>94</v>
      </c>
      <c r="B32" s="8">
        <v>45420</v>
      </c>
      <c r="C32" s="9">
        <v>0.63680555555555551</v>
      </c>
      <c r="D32" t="s">
        <v>95</v>
      </c>
      <c r="E32" t="s">
        <v>24</v>
      </c>
      <c r="F32">
        <v>48</v>
      </c>
      <c r="G32" t="s">
        <v>25</v>
      </c>
      <c r="H32" t="s">
        <v>26</v>
      </c>
      <c r="I32" t="s">
        <v>76</v>
      </c>
      <c r="K32">
        <v>53</v>
      </c>
      <c r="L32" t="s">
        <v>36</v>
      </c>
      <c r="M32" t="s">
        <v>33</v>
      </c>
    </row>
    <row r="33" spans="1:13" x14ac:dyDescent="0.45">
      <c r="A33" t="s">
        <v>96</v>
      </c>
      <c r="B33" s="8">
        <v>45053</v>
      </c>
      <c r="C33" s="9">
        <v>0.78888888888888886</v>
      </c>
      <c r="D33" t="s">
        <v>97</v>
      </c>
      <c r="E33" t="s">
        <v>54</v>
      </c>
      <c r="F33">
        <v>55</v>
      </c>
      <c r="G33" t="s">
        <v>25</v>
      </c>
      <c r="H33" t="s">
        <v>26</v>
      </c>
      <c r="I33" t="s">
        <v>76</v>
      </c>
      <c r="K33">
        <v>32</v>
      </c>
      <c r="L33" t="s">
        <v>39</v>
      </c>
      <c r="M33" t="s">
        <v>33</v>
      </c>
    </row>
    <row r="34" spans="1:13" x14ac:dyDescent="0.45">
      <c r="A34" t="s">
        <v>98</v>
      </c>
      <c r="B34" s="8">
        <v>45057</v>
      </c>
      <c r="C34" s="9">
        <v>0.75555555555555554</v>
      </c>
      <c r="D34" t="s">
        <v>99</v>
      </c>
      <c r="E34" t="s">
        <v>54</v>
      </c>
      <c r="F34">
        <v>15</v>
      </c>
      <c r="G34" t="s">
        <v>25</v>
      </c>
      <c r="H34" t="s">
        <v>26</v>
      </c>
      <c r="I34" t="s">
        <v>76</v>
      </c>
      <c r="K34">
        <v>45</v>
      </c>
      <c r="L34" t="s">
        <v>32</v>
      </c>
      <c r="M34" t="s">
        <v>33</v>
      </c>
    </row>
    <row r="35" spans="1:13" x14ac:dyDescent="0.45">
      <c r="A35" t="s">
        <v>100</v>
      </c>
      <c r="B35" s="8">
        <v>45058</v>
      </c>
      <c r="C35" s="9">
        <v>0.5131944444444444</v>
      </c>
      <c r="D35" t="s">
        <v>101</v>
      </c>
      <c r="E35" t="s">
        <v>54</v>
      </c>
      <c r="F35">
        <v>71</v>
      </c>
      <c r="G35" t="s">
        <v>25</v>
      </c>
      <c r="H35" t="s">
        <v>26</v>
      </c>
      <c r="I35" t="s">
        <v>76</v>
      </c>
      <c r="K35">
        <v>44</v>
      </c>
      <c r="L35" t="s">
        <v>67</v>
      </c>
      <c r="M35" t="s">
        <v>33</v>
      </c>
    </row>
    <row r="36" spans="1:13" x14ac:dyDescent="0.45">
      <c r="A36" t="s">
        <v>102</v>
      </c>
      <c r="B36" s="8">
        <v>45058</v>
      </c>
      <c r="C36" s="9">
        <v>0.38263888888888886</v>
      </c>
      <c r="D36" t="s">
        <v>103</v>
      </c>
      <c r="E36" t="s">
        <v>54</v>
      </c>
      <c r="F36">
        <v>18</v>
      </c>
      <c r="G36" t="s">
        <v>25</v>
      </c>
      <c r="H36" t="s">
        <v>26</v>
      </c>
      <c r="I36" t="s">
        <v>76</v>
      </c>
      <c r="K36">
        <v>51</v>
      </c>
      <c r="L36" t="s">
        <v>32</v>
      </c>
      <c r="M36" t="s">
        <v>33</v>
      </c>
    </row>
    <row r="37" spans="1:13" x14ac:dyDescent="0.45">
      <c r="A37" t="s">
        <v>104</v>
      </c>
      <c r="B37" s="8">
        <v>45415</v>
      </c>
      <c r="C37" s="9">
        <v>0.78402777777777777</v>
      </c>
      <c r="D37" t="s">
        <v>105</v>
      </c>
      <c r="E37" t="s">
        <v>54</v>
      </c>
      <c r="F37">
        <v>51</v>
      </c>
      <c r="G37" t="s">
        <v>25</v>
      </c>
      <c r="H37" t="s">
        <v>26</v>
      </c>
      <c r="I37" t="s">
        <v>76</v>
      </c>
      <c r="K37">
        <v>11</v>
      </c>
      <c r="L37" t="s">
        <v>39</v>
      </c>
      <c r="M37" t="s">
        <v>29</v>
      </c>
    </row>
    <row r="38" spans="1:13" x14ac:dyDescent="0.45">
      <c r="A38" t="s">
        <v>106</v>
      </c>
      <c r="B38" s="8">
        <v>45420</v>
      </c>
      <c r="C38" s="9">
        <v>5.9027777777777776E-2</v>
      </c>
      <c r="D38" t="s">
        <v>107</v>
      </c>
      <c r="E38" t="s">
        <v>54</v>
      </c>
      <c r="F38">
        <v>41</v>
      </c>
      <c r="G38" t="s">
        <v>25</v>
      </c>
      <c r="H38" t="s">
        <v>26</v>
      </c>
      <c r="I38" t="s">
        <v>76</v>
      </c>
      <c r="K38">
        <v>25</v>
      </c>
      <c r="L38" t="s">
        <v>36</v>
      </c>
      <c r="M38" t="s">
        <v>29</v>
      </c>
    </row>
    <row r="39" spans="1:13" x14ac:dyDescent="0.45">
      <c r="A39" t="s">
        <v>108</v>
      </c>
      <c r="B39" s="8">
        <v>45050</v>
      </c>
      <c r="C39" s="9">
        <v>0.7055555555555556</v>
      </c>
      <c r="D39" t="s">
        <v>109</v>
      </c>
      <c r="E39" t="s">
        <v>24</v>
      </c>
      <c r="F39">
        <v>48</v>
      </c>
      <c r="G39" t="s">
        <v>110</v>
      </c>
      <c r="H39" t="s">
        <v>26</v>
      </c>
      <c r="I39" t="s">
        <v>76</v>
      </c>
      <c r="K39">
        <v>45</v>
      </c>
      <c r="L39" t="s">
        <v>36</v>
      </c>
      <c r="M39" t="s">
        <v>33</v>
      </c>
    </row>
    <row r="40" spans="1:13" x14ac:dyDescent="0.45">
      <c r="A40" t="s">
        <v>111</v>
      </c>
      <c r="B40" s="8">
        <v>45056</v>
      </c>
      <c r="C40" s="9">
        <v>0.39374999999999999</v>
      </c>
      <c r="D40" t="s">
        <v>112</v>
      </c>
      <c r="E40" t="s">
        <v>24</v>
      </c>
      <c r="F40">
        <v>51</v>
      </c>
      <c r="G40" t="s">
        <v>110</v>
      </c>
      <c r="H40" t="s">
        <v>26</v>
      </c>
      <c r="I40" t="s">
        <v>76</v>
      </c>
      <c r="K40">
        <v>55</v>
      </c>
      <c r="L40" t="s">
        <v>39</v>
      </c>
      <c r="M40" t="s">
        <v>33</v>
      </c>
    </row>
    <row r="41" spans="1:13" x14ac:dyDescent="0.45">
      <c r="A41" t="s">
        <v>113</v>
      </c>
      <c r="B41" s="8">
        <v>45414</v>
      </c>
      <c r="C41" s="9">
        <v>0.16458333333333333</v>
      </c>
      <c r="D41" t="s">
        <v>114</v>
      </c>
      <c r="E41" t="s">
        <v>24</v>
      </c>
      <c r="F41">
        <v>46</v>
      </c>
      <c r="G41" t="s">
        <v>110</v>
      </c>
      <c r="H41" t="s">
        <v>26</v>
      </c>
      <c r="I41" t="s">
        <v>76</v>
      </c>
      <c r="K41">
        <v>36</v>
      </c>
      <c r="L41" t="s">
        <v>36</v>
      </c>
      <c r="M41" t="s">
        <v>33</v>
      </c>
    </row>
    <row r="42" spans="1:13" x14ac:dyDescent="0.45">
      <c r="A42" t="s">
        <v>115</v>
      </c>
      <c r="B42" s="8">
        <v>45417</v>
      </c>
      <c r="C42" s="9">
        <v>0.90833333333333333</v>
      </c>
      <c r="D42" t="s">
        <v>116</v>
      </c>
      <c r="E42" t="s">
        <v>24</v>
      </c>
      <c r="F42">
        <v>72</v>
      </c>
      <c r="G42" t="s">
        <v>110</v>
      </c>
      <c r="H42" t="s">
        <v>26</v>
      </c>
      <c r="I42" t="s">
        <v>76</v>
      </c>
      <c r="K42">
        <v>39</v>
      </c>
      <c r="L42" t="s">
        <v>67</v>
      </c>
      <c r="M42" t="s">
        <v>33</v>
      </c>
    </row>
    <row r="43" spans="1:13" x14ac:dyDescent="0.45">
      <c r="A43" t="s">
        <v>117</v>
      </c>
      <c r="B43" s="8">
        <v>45417</v>
      </c>
      <c r="C43" s="9">
        <v>0.22638888888888889</v>
      </c>
      <c r="D43" t="s">
        <v>118</v>
      </c>
      <c r="E43" t="s">
        <v>24</v>
      </c>
      <c r="F43">
        <v>29</v>
      </c>
      <c r="G43" t="s">
        <v>110</v>
      </c>
      <c r="H43" t="s">
        <v>26</v>
      </c>
      <c r="I43" t="s">
        <v>76</v>
      </c>
      <c r="K43">
        <v>60</v>
      </c>
      <c r="L43" t="s">
        <v>58</v>
      </c>
      <c r="M43" t="s">
        <v>33</v>
      </c>
    </row>
    <row r="44" spans="1:13" x14ac:dyDescent="0.45">
      <c r="A44" t="s">
        <v>119</v>
      </c>
      <c r="B44" s="8">
        <v>45421</v>
      </c>
      <c r="C44" s="9">
        <v>0.30972222222222223</v>
      </c>
      <c r="D44" t="s">
        <v>120</v>
      </c>
      <c r="E44" t="s">
        <v>24</v>
      </c>
      <c r="F44">
        <v>76</v>
      </c>
      <c r="G44" t="s">
        <v>110</v>
      </c>
      <c r="H44" t="s">
        <v>26</v>
      </c>
      <c r="I44" t="s">
        <v>76</v>
      </c>
      <c r="K44">
        <v>58</v>
      </c>
      <c r="L44" t="s">
        <v>67</v>
      </c>
      <c r="M44" t="s">
        <v>33</v>
      </c>
    </row>
    <row r="45" spans="1:13" x14ac:dyDescent="0.45">
      <c r="A45" t="s">
        <v>121</v>
      </c>
      <c r="B45" s="8">
        <v>45056</v>
      </c>
      <c r="C45" s="9">
        <v>0.69027777777777777</v>
      </c>
      <c r="D45" t="s">
        <v>122</v>
      </c>
      <c r="E45" t="s">
        <v>54</v>
      </c>
      <c r="F45">
        <v>65</v>
      </c>
      <c r="G45" t="s">
        <v>110</v>
      </c>
      <c r="H45" t="s">
        <v>26</v>
      </c>
      <c r="I45" t="s">
        <v>76</v>
      </c>
      <c r="K45">
        <v>16</v>
      </c>
      <c r="L45" t="s">
        <v>28</v>
      </c>
      <c r="M45" t="s">
        <v>29</v>
      </c>
    </row>
    <row r="46" spans="1:13" x14ac:dyDescent="0.45">
      <c r="A46" t="s">
        <v>123</v>
      </c>
      <c r="B46" s="8">
        <v>45413</v>
      </c>
      <c r="C46" s="9">
        <v>0.46666666666666667</v>
      </c>
      <c r="D46" t="s">
        <v>124</v>
      </c>
      <c r="E46" t="s">
        <v>54</v>
      </c>
      <c r="F46">
        <v>20</v>
      </c>
      <c r="G46" t="s">
        <v>110</v>
      </c>
      <c r="H46" t="s">
        <v>26</v>
      </c>
      <c r="I46" t="s">
        <v>76</v>
      </c>
      <c r="K46">
        <v>16</v>
      </c>
      <c r="L46" t="s">
        <v>32</v>
      </c>
      <c r="M46" t="s">
        <v>29</v>
      </c>
    </row>
    <row r="47" spans="1:13" x14ac:dyDescent="0.45">
      <c r="A47" t="s">
        <v>125</v>
      </c>
      <c r="B47" s="8">
        <v>45413</v>
      </c>
      <c r="C47" s="9">
        <v>0.24861111111111112</v>
      </c>
      <c r="D47" t="s">
        <v>126</v>
      </c>
      <c r="E47" t="s">
        <v>54</v>
      </c>
      <c r="F47">
        <v>54</v>
      </c>
      <c r="G47" t="s">
        <v>110</v>
      </c>
      <c r="H47" t="s">
        <v>26</v>
      </c>
      <c r="I47" t="s">
        <v>76</v>
      </c>
      <c r="K47">
        <v>55</v>
      </c>
      <c r="L47" t="s">
        <v>39</v>
      </c>
      <c r="M47" t="s">
        <v>33</v>
      </c>
    </row>
    <row r="48" spans="1:13" x14ac:dyDescent="0.45">
      <c r="A48" t="s">
        <v>127</v>
      </c>
      <c r="B48" s="8">
        <v>45414</v>
      </c>
      <c r="C48" s="9">
        <v>0.34791666666666665</v>
      </c>
      <c r="D48" t="s">
        <v>128</v>
      </c>
      <c r="E48" t="s">
        <v>54</v>
      </c>
      <c r="F48">
        <v>1</v>
      </c>
      <c r="G48" t="s">
        <v>110</v>
      </c>
      <c r="H48" t="s">
        <v>26</v>
      </c>
      <c r="I48" t="s">
        <v>76</v>
      </c>
      <c r="K48">
        <v>56</v>
      </c>
      <c r="L48" t="s">
        <v>55</v>
      </c>
      <c r="M48" t="s">
        <v>33</v>
      </c>
    </row>
    <row r="49" spans="1:13" x14ac:dyDescent="0.45">
      <c r="A49" t="s">
        <v>129</v>
      </c>
      <c r="B49" s="8">
        <v>45420</v>
      </c>
      <c r="C49" s="9">
        <v>0.92569444444444449</v>
      </c>
      <c r="D49" t="s">
        <v>130</v>
      </c>
      <c r="E49" t="s">
        <v>54</v>
      </c>
      <c r="F49">
        <v>72</v>
      </c>
      <c r="G49" t="s">
        <v>110</v>
      </c>
      <c r="H49" t="s">
        <v>26</v>
      </c>
      <c r="I49" t="s">
        <v>76</v>
      </c>
      <c r="K49">
        <v>21</v>
      </c>
      <c r="L49" t="s">
        <v>67</v>
      </c>
      <c r="M49" t="s">
        <v>29</v>
      </c>
    </row>
    <row r="50" spans="1:13" x14ac:dyDescent="0.45">
      <c r="A50" t="s">
        <v>131</v>
      </c>
      <c r="B50" s="8">
        <v>45050</v>
      </c>
      <c r="C50" s="9">
        <v>0.13263888888888889</v>
      </c>
      <c r="D50" t="s">
        <v>132</v>
      </c>
      <c r="E50" t="s">
        <v>54</v>
      </c>
      <c r="F50">
        <v>7</v>
      </c>
      <c r="G50" t="s">
        <v>110</v>
      </c>
      <c r="H50" t="s">
        <v>26</v>
      </c>
      <c r="I50" t="s">
        <v>27</v>
      </c>
      <c r="K50">
        <v>39</v>
      </c>
      <c r="L50" t="s">
        <v>55</v>
      </c>
      <c r="M50" t="s">
        <v>33</v>
      </c>
    </row>
    <row r="51" spans="1:13" x14ac:dyDescent="0.45">
      <c r="A51" t="s">
        <v>133</v>
      </c>
      <c r="B51" s="8">
        <v>45056</v>
      </c>
      <c r="C51" s="9">
        <v>0.74305555555555558</v>
      </c>
      <c r="D51" t="s">
        <v>134</v>
      </c>
      <c r="E51" t="s">
        <v>54</v>
      </c>
      <c r="F51">
        <v>40</v>
      </c>
      <c r="G51" t="s">
        <v>110</v>
      </c>
      <c r="H51" t="s">
        <v>26</v>
      </c>
      <c r="I51" t="s">
        <v>27</v>
      </c>
      <c r="K51">
        <v>19</v>
      </c>
      <c r="L51" t="s">
        <v>87</v>
      </c>
      <c r="M51" t="s">
        <v>29</v>
      </c>
    </row>
    <row r="52" spans="1:13" x14ac:dyDescent="0.45">
      <c r="A52" t="s">
        <v>135</v>
      </c>
      <c r="B52" s="8">
        <v>45413</v>
      </c>
      <c r="C52" s="9">
        <v>0.37361111111111112</v>
      </c>
      <c r="D52" t="s">
        <v>136</v>
      </c>
      <c r="E52" t="s">
        <v>54</v>
      </c>
      <c r="F52">
        <v>79</v>
      </c>
      <c r="G52" t="s">
        <v>110</v>
      </c>
      <c r="H52" t="s">
        <v>26</v>
      </c>
      <c r="I52" t="s">
        <v>27</v>
      </c>
      <c r="K52">
        <v>17</v>
      </c>
      <c r="L52" t="s">
        <v>67</v>
      </c>
      <c r="M52" t="s">
        <v>29</v>
      </c>
    </row>
    <row r="53" spans="1:13" x14ac:dyDescent="0.45">
      <c r="A53" t="s">
        <v>137</v>
      </c>
      <c r="B53" s="8">
        <v>45413</v>
      </c>
      <c r="C53" s="9">
        <v>7.3611111111111113E-2</v>
      </c>
      <c r="D53" t="s">
        <v>138</v>
      </c>
      <c r="E53" t="s">
        <v>54</v>
      </c>
      <c r="F53">
        <v>76</v>
      </c>
      <c r="G53" t="s">
        <v>110</v>
      </c>
      <c r="H53" t="s">
        <v>26</v>
      </c>
      <c r="I53" t="s">
        <v>27</v>
      </c>
      <c r="K53">
        <v>21</v>
      </c>
      <c r="L53" t="s">
        <v>67</v>
      </c>
      <c r="M53" t="s">
        <v>29</v>
      </c>
    </row>
    <row r="54" spans="1:13" x14ac:dyDescent="0.45">
      <c r="A54" t="s">
        <v>139</v>
      </c>
      <c r="B54" s="8">
        <v>45414</v>
      </c>
      <c r="C54" s="9">
        <v>0.80694444444444446</v>
      </c>
      <c r="D54" t="s">
        <v>140</v>
      </c>
      <c r="E54" t="s">
        <v>54</v>
      </c>
      <c r="F54">
        <v>8</v>
      </c>
      <c r="G54" t="s">
        <v>110</v>
      </c>
      <c r="H54" t="s">
        <v>26</v>
      </c>
      <c r="I54" t="s">
        <v>27</v>
      </c>
      <c r="K54">
        <v>32</v>
      </c>
      <c r="L54" t="s">
        <v>55</v>
      </c>
      <c r="M54" t="s">
        <v>33</v>
      </c>
    </row>
    <row r="55" spans="1:13" x14ac:dyDescent="0.45">
      <c r="A55" t="s">
        <v>141</v>
      </c>
      <c r="B55" s="8">
        <v>45415</v>
      </c>
      <c r="C55" s="9">
        <v>0.62083333333333335</v>
      </c>
      <c r="D55" t="s">
        <v>142</v>
      </c>
      <c r="E55" t="s">
        <v>54</v>
      </c>
      <c r="F55">
        <v>38</v>
      </c>
      <c r="G55" t="s">
        <v>110</v>
      </c>
      <c r="H55" t="s">
        <v>26</v>
      </c>
      <c r="I55" t="s">
        <v>27</v>
      </c>
      <c r="K55">
        <v>45</v>
      </c>
      <c r="L55" t="s">
        <v>87</v>
      </c>
      <c r="M55" t="s">
        <v>33</v>
      </c>
    </row>
    <row r="56" spans="1:13" x14ac:dyDescent="0.45">
      <c r="A56" t="s">
        <v>143</v>
      </c>
      <c r="B56" s="8">
        <v>45416</v>
      </c>
      <c r="C56" s="9">
        <v>0.35</v>
      </c>
      <c r="D56" t="s">
        <v>144</v>
      </c>
      <c r="E56" t="s">
        <v>54</v>
      </c>
      <c r="F56">
        <v>5</v>
      </c>
      <c r="G56" t="s">
        <v>110</v>
      </c>
      <c r="H56" t="s">
        <v>26</v>
      </c>
      <c r="I56" t="s">
        <v>27</v>
      </c>
      <c r="K56">
        <v>49</v>
      </c>
      <c r="L56" t="s">
        <v>55</v>
      </c>
      <c r="M56" t="s">
        <v>33</v>
      </c>
    </row>
    <row r="57" spans="1:13" x14ac:dyDescent="0.45">
      <c r="A57" t="s">
        <v>145</v>
      </c>
      <c r="B57" s="8">
        <v>45051</v>
      </c>
      <c r="C57" s="9">
        <v>0.1736111111111111</v>
      </c>
      <c r="D57" t="s">
        <v>146</v>
      </c>
      <c r="E57" t="s">
        <v>24</v>
      </c>
      <c r="F57">
        <v>37</v>
      </c>
      <c r="G57" t="s">
        <v>110</v>
      </c>
      <c r="H57" t="s">
        <v>26</v>
      </c>
      <c r="I57" t="s">
        <v>27</v>
      </c>
      <c r="K57">
        <v>57</v>
      </c>
      <c r="L57" t="s">
        <v>87</v>
      </c>
      <c r="M57" t="s">
        <v>33</v>
      </c>
    </row>
    <row r="58" spans="1:13" x14ac:dyDescent="0.45">
      <c r="A58" t="s">
        <v>147</v>
      </c>
      <c r="B58" s="8">
        <v>45052</v>
      </c>
      <c r="C58" s="9">
        <v>0.56597222222222221</v>
      </c>
      <c r="D58" t="s">
        <v>148</v>
      </c>
      <c r="E58" t="s">
        <v>24</v>
      </c>
      <c r="F58">
        <v>9</v>
      </c>
      <c r="G58" t="s">
        <v>110</v>
      </c>
      <c r="H58" t="s">
        <v>26</v>
      </c>
      <c r="I58" t="s">
        <v>27</v>
      </c>
      <c r="K58">
        <v>49</v>
      </c>
      <c r="L58" t="s">
        <v>55</v>
      </c>
      <c r="M58" t="s">
        <v>33</v>
      </c>
    </row>
    <row r="59" spans="1:13" x14ac:dyDescent="0.45">
      <c r="A59" t="s">
        <v>149</v>
      </c>
      <c r="B59" s="8">
        <v>45054</v>
      </c>
      <c r="C59" s="9">
        <v>0.93888888888888888</v>
      </c>
      <c r="D59" t="s">
        <v>150</v>
      </c>
      <c r="E59" t="s">
        <v>24</v>
      </c>
      <c r="F59">
        <v>41</v>
      </c>
      <c r="G59" t="s">
        <v>110</v>
      </c>
      <c r="H59" t="s">
        <v>26</v>
      </c>
      <c r="I59" t="s">
        <v>27</v>
      </c>
      <c r="K59">
        <v>28</v>
      </c>
      <c r="L59" t="s">
        <v>36</v>
      </c>
      <c r="M59" t="s">
        <v>29</v>
      </c>
    </row>
    <row r="60" spans="1:13" x14ac:dyDescent="0.45">
      <c r="A60" t="s">
        <v>151</v>
      </c>
      <c r="B60" s="8">
        <v>45056</v>
      </c>
      <c r="C60" s="9">
        <v>0.60486111111111107</v>
      </c>
      <c r="D60" t="s">
        <v>152</v>
      </c>
      <c r="E60" t="s">
        <v>24</v>
      </c>
      <c r="F60">
        <v>45</v>
      </c>
      <c r="G60" t="s">
        <v>110</v>
      </c>
      <c r="H60" t="s">
        <v>26</v>
      </c>
      <c r="I60" t="s">
        <v>27</v>
      </c>
      <c r="K60">
        <v>48</v>
      </c>
      <c r="L60" t="s">
        <v>36</v>
      </c>
      <c r="M60" t="s">
        <v>33</v>
      </c>
    </row>
    <row r="61" spans="1:13" x14ac:dyDescent="0.45">
      <c r="A61" t="s">
        <v>153</v>
      </c>
      <c r="B61" s="8">
        <v>45415</v>
      </c>
      <c r="C61" s="9">
        <v>0.47916666666666669</v>
      </c>
      <c r="D61" t="s">
        <v>154</v>
      </c>
      <c r="E61" t="s">
        <v>24</v>
      </c>
      <c r="F61">
        <v>11</v>
      </c>
      <c r="G61" t="s">
        <v>110</v>
      </c>
      <c r="H61" t="s">
        <v>26</v>
      </c>
      <c r="I61" t="s">
        <v>27</v>
      </c>
      <c r="K61">
        <v>14</v>
      </c>
      <c r="L61" t="s">
        <v>32</v>
      </c>
      <c r="M61" t="s">
        <v>29</v>
      </c>
    </row>
    <row r="62" spans="1:13" x14ac:dyDescent="0.45">
      <c r="A62" t="s">
        <v>155</v>
      </c>
      <c r="B62" s="8">
        <v>45415</v>
      </c>
      <c r="C62" s="9">
        <v>0.48194444444444445</v>
      </c>
      <c r="D62" t="s">
        <v>156</v>
      </c>
      <c r="E62" t="s">
        <v>24</v>
      </c>
      <c r="F62">
        <v>47</v>
      </c>
      <c r="G62" t="s">
        <v>110</v>
      </c>
      <c r="H62" t="s">
        <v>26</v>
      </c>
      <c r="I62" t="s">
        <v>27</v>
      </c>
      <c r="K62">
        <v>33</v>
      </c>
      <c r="L62" t="s">
        <v>36</v>
      </c>
      <c r="M62" t="s">
        <v>33</v>
      </c>
    </row>
    <row r="63" spans="1:13" x14ac:dyDescent="0.45">
      <c r="A63" t="s">
        <v>157</v>
      </c>
      <c r="B63" s="8">
        <v>45419</v>
      </c>
      <c r="C63" s="9">
        <v>0.63194444444444442</v>
      </c>
      <c r="D63" t="s">
        <v>158</v>
      </c>
      <c r="E63" t="s">
        <v>24</v>
      </c>
      <c r="F63">
        <v>34</v>
      </c>
      <c r="G63" t="s">
        <v>110</v>
      </c>
      <c r="H63" t="s">
        <v>26</v>
      </c>
      <c r="I63" t="s">
        <v>27</v>
      </c>
      <c r="K63">
        <v>28</v>
      </c>
      <c r="L63" t="s">
        <v>87</v>
      </c>
      <c r="M63" t="s">
        <v>29</v>
      </c>
    </row>
    <row r="64" spans="1:13" x14ac:dyDescent="0.45">
      <c r="A64" t="s">
        <v>159</v>
      </c>
      <c r="B64" s="8">
        <v>45052</v>
      </c>
      <c r="C64" s="9">
        <v>0.62847222222222221</v>
      </c>
      <c r="D64" t="s">
        <v>160</v>
      </c>
      <c r="E64" t="s">
        <v>54</v>
      </c>
      <c r="F64">
        <v>46</v>
      </c>
      <c r="G64" t="s">
        <v>161</v>
      </c>
      <c r="H64" t="s">
        <v>26</v>
      </c>
      <c r="I64" t="s">
        <v>76</v>
      </c>
      <c r="K64">
        <v>13</v>
      </c>
      <c r="L64" t="s">
        <v>36</v>
      </c>
      <c r="M64" t="s">
        <v>29</v>
      </c>
    </row>
    <row r="65" spans="1:13" x14ac:dyDescent="0.45">
      <c r="A65" t="s">
        <v>162</v>
      </c>
      <c r="B65" s="8">
        <v>45054</v>
      </c>
      <c r="C65" s="9">
        <v>0.78263888888888888</v>
      </c>
      <c r="D65" t="s">
        <v>163</v>
      </c>
      <c r="E65" t="s">
        <v>54</v>
      </c>
      <c r="F65">
        <v>75</v>
      </c>
      <c r="G65" t="s">
        <v>161</v>
      </c>
      <c r="H65" t="s">
        <v>26</v>
      </c>
      <c r="I65" t="s">
        <v>76</v>
      </c>
      <c r="K65">
        <v>58</v>
      </c>
      <c r="L65" t="s">
        <v>67</v>
      </c>
      <c r="M65" t="s">
        <v>33</v>
      </c>
    </row>
    <row r="66" spans="1:13" x14ac:dyDescent="0.45">
      <c r="A66" t="s">
        <v>164</v>
      </c>
      <c r="B66" s="8">
        <v>45054</v>
      </c>
      <c r="C66" s="9">
        <v>0.87708333333333333</v>
      </c>
      <c r="D66" t="s">
        <v>165</v>
      </c>
      <c r="E66" t="s">
        <v>54</v>
      </c>
      <c r="F66">
        <v>4</v>
      </c>
      <c r="G66" t="s">
        <v>161</v>
      </c>
      <c r="H66" t="s">
        <v>26</v>
      </c>
      <c r="I66" t="s">
        <v>76</v>
      </c>
      <c r="K66">
        <v>51</v>
      </c>
      <c r="L66" t="s">
        <v>55</v>
      </c>
      <c r="M66" t="s">
        <v>33</v>
      </c>
    </row>
    <row r="67" spans="1:13" x14ac:dyDescent="0.45">
      <c r="A67" t="s">
        <v>166</v>
      </c>
      <c r="B67" s="8">
        <v>45056</v>
      </c>
      <c r="C67" s="9">
        <v>0.95694444444444449</v>
      </c>
      <c r="D67" t="s">
        <v>167</v>
      </c>
      <c r="E67" t="s">
        <v>54</v>
      </c>
      <c r="F67">
        <v>79</v>
      </c>
      <c r="G67" t="s">
        <v>161</v>
      </c>
      <c r="H67" t="s">
        <v>26</v>
      </c>
      <c r="I67" t="s">
        <v>76</v>
      </c>
      <c r="K67">
        <v>33</v>
      </c>
      <c r="L67" t="s">
        <v>67</v>
      </c>
      <c r="M67" t="s">
        <v>33</v>
      </c>
    </row>
    <row r="68" spans="1:13" x14ac:dyDescent="0.45">
      <c r="A68" t="s">
        <v>168</v>
      </c>
      <c r="B68" s="8">
        <v>45415</v>
      </c>
      <c r="C68" s="9">
        <v>0.72916666666666663</v>
      </c>
      <c r="D68" t="s">
        <v>169</v>
      </c>
      <c r="E68" t="s">
        <v>54</v>
      </c>
      <c r="F68">
        <v>21</v>
      </c>
      <c r="G68" t="s">
        <v>161</v>
      </c>
      <c r="H68" t="s">
        <v>26</v>
      </c>
      <c r="I68" t="s">
        <v>76</v>
      </c>
      <c r="K68">
        <v>33</v>
      </c>
      <c r="L68" t="s">
        <v>58</v>
      </c>
      <c r="M68" t="s">
        <v>33</v>
      </c>
    </row>
    <row r="69" spans="1:13" x14ac:dyDescent="0.45">
      <c r="A69" t="s">
        <v>170</v>
      </c>
      <c r="B69" s="8">
        <v>45416</v>
      </c>
      <c r="C69" s="9">
        <v>0.49722222222222223</v>
      </c>
      <c r="D69" t="s">
        <v>171</v>
      </c>
      <c r="E69" t="s">
        <v>54</v>
      </c>
      <c r="F69">
        <v>17</v>
      </c>
      <c r="G69" t="s">
        <v>161</v>
      </c>
      <c r="H69" t="s">
        <v>26</v>
      </c>
      <c r="I69" t="s">
        <v>27</v>
      </c>
      <c r="K69">
        <v>15</v>
      </c>
      <c r="L69" t="s">
        <v>32</v>
      </c>
      <c r="M69" t="s">
        <v>29</v>
      </c>
    </row>
    <row r="70" spans="1:13" x14ac:dyDescent="0.45">
      <c r="A70" t="s">
        <v>172</v>
      </c>
      <c r="B70" s="8">
        <v>45416</v>
      </c>
      <c r="C70" s="9">
        <v>0.69513888888888886</v>
      </c>
      <c r="D70" t="s">
        <v>173</v>
      </c>
      <c r="E70" t="s">
        <v>54</v>
      </c>
      <c r="F70">
        <v>33</v>
      </c>
      <c r="G70" t="s">
        <v>161</v>
      </c>
      <c r="H70" t="s">
        <v>26</v>
      </c>
      <c r="I70" t="s">
        <v>76</v>
      </c>
      <c r="K70">
        <v>24</v>
      </c>
      <c r="L70" t="s">
        <v>87</v>
      </c>
      <c r="M70" t="s">
        <v>29</v>
      </c>
    </row>
    <row r="71" spans="1:13" x14ac:dyDescent="0.45">
      <c r="A71" t="s">
        <v>174</v>
      </c>
      <c r="B71" s="8">
        <v>45419</v>
      </c>
      <c r="C71" s="9">
        <v>0.80972222222222223</v>
      </c>
      <c r="D71" t="s">
        <v>175</v>
      </c>
      <c r="E71" t="s">
        <v>54</v>
      </c>
      <c r="F71">
        <v>12</v>
      </c>
      <c r="G71" t="s">
        <v>161</v>
      </c>
      <c r="H71" t="s">
        <v>26</v>
      </c>
      <c r="I71" t="s">
        <v>27</v>
      </c>
      <c r="K71">
        <v>55</v>
      </c>
      <c r="L71" t="s">
        <v>32</v>
      </c>
      <c r="M71" t="s">
        <v>33</v>
      </c>
    </row>
    <row r="72" spans="1:13" x14ac:dyDescent="0.45">
      <c r="A72" t="s">
        <v>176</v>
      </c>
      <c r="B72" s="8">
        <v>45419</v>
      </c>
      <c r="C72" s="9">
        <v>0.8305555555555556</v>
      </c>
      <c r="D72" t="s">
        <v>177</v>
      </c>
      <c r="E72" t="s">
        <v>54</v>
      </c>
      <c r="F72">
        <v>75</v>
      </c>
      <c r="G72" t="s">
        <v>161</v>
      </c>
      <c r="H72" t="s">
        <v>26</v>
      </c>
      <c r="I72" t="s">
        <v>27</v>
      </c>
      <c r="K72">
        <v>12</v>
      </c>
      <c r="L72" t="s">
        <v>67</v>
      </c>
      <c r="M72" t="s">
        <v>29</v>
      </c>
    </row>
    <row r="73" spans="1:13" x14ac:dyDescent="0.45">
      <c r="A73" t="s">
        <v>178</v>
      </c>
      <c r="B73" s="8">
        <v>45419</v>
      </c>
      <c r="C73" s="9">
        <v>0.72847222222222219</v>
      </c>
      <c r="D73" t="s">
        <v>179</v>
      </c>
      <c r="E73" t="s">
        <v>54</v>
      </c>
      <c r="F73">
        <v>55</v>
      </c>
      <c r="G73" t="s">
        <v>161</v>
      </c>
      <c r="H73" t="s">
        <v>26</v>
      </c>
      <c r="I73" t="s">
        <v>76</v>
      </c>
      <c r="K73">
        <v>36</v>
      </c>
      <c r="L73" t="s">
        <v>39</v>
      </c>
      <c r="M73" t="s">
        <v>33</v>
      </c>
    </row>
    <row r="74" spans="1:13" x14ac:dyDescent="0.45">
      <c r="A74" t="s">
        <v>180</v>
      </c>
      <c r="B74" s="8">
        <v>45421</v>
      </c>
      <c r="C74" s="9">
        <v>0.87430555555555556</v>
      </c>
      <c r="D74" t="s">
        <v>181</v>
      </c>
      <c r="E74" t="s">
        <v>54</v>
      </c>
      <c r="F74">
        <v>51</v>
      </c>
      <c r="G74" t="s">
        <v>161</v>
      </c>
      <c r="H74" t="s">
        <v>26</v>
      </c>
      <c r="I74" t="s">
        <v>76</v>
      </c>
      <c r="K74">
        <v>14</v>
      </c>
      <c r="L74" t="s">
        <v>39</v>
      </c>
      <c r="M74" t="s">
        <v>29</v>
      </c>
    </row>
    <row r="75" spans="1:13" x14ac:dyDescent="0.45">
      <c r="A75" t="s">
        <v>182</v>
      </c>
      <c r="B75" s="8">
        <v>45054</v>
      </c>
      <c r="C75" s="9">
        <v>0.72916666666666663</v>
      </c>
      <c r="D75" t="s">
        <v>183</v>
      </c>
      <c r="E75" t="s">
        <v>24</v>
      </c>
      <c r="F75">
        <v>51</v>
      </c>
      <c r="G75" t="s">
        <v>161</v>
      </c>
      <c r="H75" t="s">
        <v>26</v>
      </c>
      <c r="I75" t="s">
        <v>27</v>
      </c>
      <c r="K75">
        <v>58</v>
      </c>
      <c r="L75" t="s">
        <v>39</v>
      </c>
      <c r="M75" t="s">
        <v>33</v>
      </c>
    </row>
    <row r="76" spans="1:13" x14ac:dyDescent="0.45">
      <c r="A76" t="s">
        <v>184</v>
      </c>
      <c r="B76" s="8">
        <v>45054</v>
      </c>
      <c r="C76" s="9">
        <v>0.57847222222222228</v>
      </c>
      <c r="D76" t="s">
        <v>185</v>
      </c>
      <c r="E76" t="s">
        <v>24</v>
      </c>
      <c r="F76">
        <v>1</v>
      </c>
      <c r="G76" t="s">
        <v>161</v>
      </c>
      <c r="H76" t="s">
        <v>26</v>
      </c>
      <c r="I76" t="s">
        <v>27</v>
      </c>
      <c r="K76">
        <v>36</v>
      </c>
      <c r="L76" t="s">
        <v>55</v>
      </c>
      <c r="M76" t="s">
        <v>33</v>
      </c>
    </row>
    <row r="77" spans="1:13" x14ac:dyDescent="0.45">
      <c r="A77" t="s">
        <v>186</v>
      </c>
      <c r="B77" s="8">
        <v>45055</v>
      </c>
      <c r="C77" s="9">
        <v>9.583333333333334E-2</v>
      </c>
      <c r="D77" t="s">
        <v>187</v>
      </c>
      <c r="E77" t="s">
        <v>24</v>
      </c>
      <c r="F77">
        <v>17</v>
      </c>
      <c r="G77" t="s">
        <v>161</v>
      </c>
      <c r="H77" t="s">
        <v>26</v>
      </c>
      <c r="I77" t="s">
        <v>27</v>
      </c>
      <c r="K77">
        <v>27</v>
      </c>
      <c r="L77" t="s">
        <v>32</v>
      </c>
      <c r="M77" t="s">
        <v>29</v>
      </c>
    </row>
    <row r="78" spans="1:13" x14ac:dyDescent="0.45">
      <c r="A78" t="s">
        <v>188</v>
      </c>
      <c r="B78" s="8">
        <v>45055</v>
      </c>
      <c r="C78" s="9">
        <v>0.10069444444444445</v>
      </c>
      <c r="D78" t="s">
        <v>189</v>
      </c>
      <c r="E78" t="s">
        <v>24</v>
      </c>
      <c r="F78">
        <v>32</v>
      </c>
      <c r="G78" t="s">
        <v>161</v>
      </c>
      <c r="H78" t="s">
        <v>26</v>
      </c>
      <c r="I78" t="s">
        <v>27</v>
      </c>
      <c r="K78">
        <v>12</v>
      </c>
      <c r="L78" t="s">
        <v>87</v>
      </c>
      <c r="M78" t="s">
        <v>29</v>
      </c>
    </row>
    <row r="79" spans="1:13" x14ac:dyDescent="0.45">
      <c r="A79" t="s">
        <v>190</v>
      </c>
      <c r="B79" s="8">
        <v>45413</v>
      </c>
      <c r="C79" s="9">
        <v>0.92638888888888893</v>
      </c>
      <c r="D79" t="s">
        <v>191</v>
      </c>
      <c r="E79" t="s">
        <v>24</v>
      </c>
      <c r="F79">
        <v>17</v>
      </c>
      <c r="G79" t="s">
        <v>161</v>
      </c>
      <c r="H79" t="s">
        <v>26</v>
      </c>
      <c r="I79" t="s">
        <v>27</v>
      </c>
      <c r="K79">
        <v>48</v>
      </c>
      <c r="L79" t="s">
        <v>32</v>
      </c>
      <c r="M79" t="s">
        <v>33</v>
      </c>
    </row>
    <row r="80" spans="1:13" x14ac:dyDescent="0.45">
      <c r="A80" t="s">
        <v>192</v>
      </c>
      <c r="B80" s="8">
        <v>45055</v>
      </c>
      <c r="C80" s="9">
        <v>0.42916666666666664</v>
      </c>
      <c r="D80" t="s">
        <v>193</v>
      </c>
      <c r="E80" t="s">
        <v>24</v>
      </c>
      <c r="F80">
        <v>38</v>
      </c>
      <c r="G80" t="s">
        <v>161</v>
      </c>
      <c r="H80" t="s">
        <v>26</v>
      </c>
      <c r="I80" t="s">
        <v>76</v>
      </c>
      <c r="K80">
        <v>55</v>
      </c>
      <c r="L80" t="s">
        <v>87</v>
      </c>
      <c r="M80" t="s">
        <v>33</v>
      </c>
    </row>
    <row r="81" spans="1:13" x14ac:dyDescent="0.45">
      <c r="A81" t="s">
        <v>194</v>
      </c>
      <c r="B81" s="8">
        <v>45056</v>
      </c>
      <c r="C81" s="9">
        <v>0.91736111111111107</v>
      </c>
      <c r="D81" t="s">
        <v>195</v>
      </c>
      <c r="E81" t="s">
        <v>24</v>
      </c>
      <c r="F81">
        <v>37</v>
      </c>
      <c r="G81" t="s">
        <v>161</v>
      </c>
      <c r="H81" t="s">
        <v>26</v>
      </c>
      <c r="I81" t="s">
        <v>76</v>
      </c>
      <c r="K81">
        <v>31</v>
      </c>
      <c r="L81" t="s">
        <v>87</v>
      </c>
      <c r="M81" t="s">
        <v>33</v>
      </c>
    </row>
    <row r="82" spans="1:13" x14ac:dyDescent="0.45">
      <c r="A82" t="s">
        <v>196</v>
      </c>
      <c r="B82" s="8">
        <v>45413</v>
      </c>
      <c r="C82" s="9">
        <v>0.25833333333333336</v>
      </c>
      <c r="D82" t="s">
        <v>197</v>
      </c>
      <c r="E82" t="s">
        <v>24</v>
      </c>
      <c r="F82">
        <v>71</v>
      </c>
      <c r="G82" t="s">
        <v>161</v>
      </c>
      <c r="H82" t="s">
        <v>26</v>
      </c>
      <c r="I82" t="s">
        <v>76</v>
      </c>
      <c r="K82">
        <v>34</v>
      </c>
      <c r="L82" t="s">
        <v>67</v>
      </c>
      <c r="M82" t="s">
        <v>33</v>
      </c>
    </row>
    <row r="83" spans="1:13" x14ac:dyDescent="0.45">
      <c r="A83" t="s">
        <v>198</v>
      </c>
      <c r="B83" s="8">
        <v>45418</v>
      </c>
      <c r="C83" s="9">
        <v>0.22500000000000001</v>
      </c>
      <c r="D83" t="s">
        <v>199</v>
      </c>
      <c r="E83" t="s">
        <v>24</v>
      </c>
      <c r="F83">
        <v>40</v>
      </c>
      <c r="G83" t="s">
        <v>161</v>
      </c>
      <c r="H83" t="s">
        <v>26</v>
      </c>
      <c r="I83" t="s">
        <v>76</v>
      </c>
      <c r="K83">
        <v>19</v>
      </c>
      <c r="L83" t="s">
        <v>87</v>
      </c>
      <c r="M83" t="s">
        <v>29</v>
      </c>
    </row>
    <row r="84" spans="1:13" x14ac:dyDescent="0.45">
      <c r="A84" t="s">
        <v>200</v>
      </c>
      <c r="B84" s="8">
        <v>45418</v>
      </c>
      <c r="C84" s="9">
        <v>0.89027777777777772</v>
      </c>
      <c r="D84" t="s">
        <v>201</v>
      </c>
      <c r="E84" t="s">
        <v>24</v>
      </c>
      <c r="F84">
        <v>33</v>
      </c>
      <c r="G84" t="s">
        <v>161</v>
      </c>
      <c r="H84" t="s">
        <v>26</v>
      </c>
      <c r="I84" t="s">
        <v>76</v>
      </c>
      <c r="K84">
        <v>19</v>
      </c>
      <c r="L84" t="s">
        <v>87</v>
      </c>
      <c r="M84" t="s">
        <v>29</v>
      </c>
    </row>
    <row r="85" spans="1:13" x14ac:dyDescent="0.45">
      <c r="A85" t="s">
        <v>202</v>
      </c>
      <c r="B85" s="8">
        <v>45420</v>
      </c>
      <c r="C85" s="9">
        <v>0.97986111111111107</v>
      </c>
      <c r="D85" t="s">
        <v>203</v>
      </c>
      <c r="E85" t="s">
        <v>24</v>
      </c>
      <c r="F85">
        <v>60</v>
      </c>
      <c r="G85" t="s">
        <v>161</v>
      </c>
      <c r="H85" t="s">
        <v>26</v>
      </c>
      <c r="I85" t="s">
        <v>76</v>
      </c>
      <c r="K85">
        <v>54</v>
      </c>
      <c r="L85" t="s">
        <v>39</v>
      </c>
      <c r="M85" t="s">
        <v>33</v>
      </c>
    </row>
    <row r="86" spans="1:13" x14ac:dyDescent="0.45">
      <c r="A86" t="s">
        <v>204</v>
      </c>
      <c r="B86" s="8">
        <v>45421</v>
      </c>
      <c r="C86" s="9">
        <v>0.69513888888888886</v>
      </c>
      <c r="D86" t="s">
        <v>205</v>
      </c>
      <c r="E86" t="s">
        <v>24</v>
      </c>
      <c r="F86">
        <v>36</v>
      </c>
      <c r="G86" t="s">
        <v>161</v>
      </c>
      <c r="H86" t="s">
        <v>26</v>
      </c>
      <c r="I86" t="s">
        <v>76</v>
      </c>
      <c r="K86">
        <v>30</v>
      </c>
      <c r="L86" t="s">
        <v>87</v>
      </c>
      <c r="M86" t="s">
        <v>33</v>
      </c>
    </row>
    <row r="87" spans="1:13" x14ac:dyDescent="0.45">
      <c r="A87" t="s">
        <v>206</v>
      </c>
      <c r="B87" s="8">
        <v>45056</v>
      </c>
      <c r="C87" s="9">
        <v>0.11388888888888889</v>
      </c>
      <c r="D87" t="s">
        <v>207</v>
      </c>
      <c r="E87" t="s">
        <v>24</v>
      </c>
      <c r="F87">
        <v>26</v>
      </c>
      <c r="G87" t="s">
        <v>208</v>
      </c>
      <c r="H87" t="s">
        <v>26</v>
      </c>
      <c r="I87" t="s">
        <v>76</v>
      </c>
      <c r="K87">
        <v>36</v>
      </c>
      <c r="L87" t="s">
        <v>58</v>
      </c>
      <c r="M87" t="s">
        <v>33</v>
      </c>
    </row>
    <row r="88" spans="1:13" x14ac:dyDescent="0.45">
      <c r="A88" t="s">
        <v>209</v>
      </c>
      <c r="B88" s="8">
        <v>45057</v>
      </c>
      <c r="C88" s="9">
        <v>0.89583333333333337</v>
      </c>
      <c r="D88" t="s">
        <v>210</v>
      </c>
      <c r="E88" t="s">
        <v>24</v>
      </c>
      <c r="F88">
        <v>71</v>
      </c>
      <c r="G88" t="s">
        <v>208</v>
      </c>
      <c r="H88" t="s">
        <v>26</v>
      </c>
      <c r="I88" t="s">
        <v>76</v>
      </c>
      <c r="K88">
        <v>58</v>
      </c>
      <c r="L88" t="s">
        <v>67</v>
      </c>
      <c r="M88" t="s">
        <v>33</v>
      </c>
    </row>
    <row r="89" spans="1:13" x14ac:dyDescent="0.45">
      <c r="A89" t="s">
        <v>211</v>
      </c>
      <c r="B89" s="8">
        <v>45057</v>
      </c>
      <c r="C89" s="9">
        <v>0.6166666666666667</v>
      </c>
      <c r="D89" t="s">
        <v>212</v>
      </c>
      <c r="E89" t="s">
        <v>24</v>
      </c>
      <c r="F89">
        <v>6</v>
      </c>
      <c r="G89" t="s">
        <v>208</v>
      </c>
      <c r="H89" t="s">
        <v>26</v>
      </c>
      <c r="I89" t="s">
        <v>76</v>
      </c>
      <c r="K89">
        <v>11</v>
      </c>
      <c r="L89" t="s">
        <v>55</v>
      </c>
      <c r="M89" t="s">
        <v>29</v>
      </c>
    </row>
    <row r="90" spans="1:13" x14ac:dyDescent="0.45">
      <c r="A90" t="s">
        <v>213</v>
      </c>
      <c r="B90" s="8">
        <v>45415</v>
      </c>
      <c r="C90" s="9">
        <v>2.7777777777777779E-3</v>
      </c>
      <c r="D90" t="s">
        <v>214</v>
      </c>
      <c r="E90" t="s">
        <v>24</v>
      </c>
      <c r="F90">
        <v>55</v>
      </c>
      <c r="G90" t="s">
        <v>208</v>
      </c>
      <c r="H90" t="s">
        <v>26</v>
      </c>
      <c r="I90" t="s">
        <v>27</v>
      </c>
      <c r="K90">
        <v>17</v>
      </c>
      <c r="L90" t="s">
        <v>39</v>
      </c>
      <c r="M90" t="s">
        <v>29</v>
      </c>
    </row>
    <row r="91" spans="1:13" x14ac:dyDescent="0.45">
      <c r="A91" t="s">
        <v>215</v>
      </c>
      <c r="B91" s="8">
        <v>45417</v>
      </c>
      <c r="C91" s="9">
        <v>0.65625</v>
      </c>
      <c r="D91" t="s">
        <v>216</v>
      </c>
      <c r="E91" t="s">
        <v>24</v>
      </c>
      <c r="F91">
        <v>1</v>
      </c>
      <c r="G91" t="s">
        <v>208</v>
      </c>
      <c r="H91" t="s">
        <v>26</v>
      </c>
      <c r="I91" t="s">
        <v>27</v>
      </c>
      <c r="K91">
        <v>43</v>
      </c>
      <c r="L91" t="s">
        <v>55</v>
      </c>
      <c r="M91" t="s">
        <v>33</v>
      </c>
    </row>
    <row r="92" spans="1:13" x14ac:dyDescent="0.45">
      <c r="A92" t="s">
        <v>217</v>
      </c>
      <c r="B92" s="8">
        <v>45052</v>
      </c>
      <c r="C92" s="9">
        <v>0.17430555555555555</v>
      </c>
      <c r="D92" t="s">
        <v>218</v>
      </c>
      <c r="E92" t="s">
        <v>54</v>
      </c>
      <c r="F92">
        <v>46</v>
      </c>
      <c r="G92" t="s">
        <v>208</v>
      </c>
      <c r="H92" t="s">
        <v>26</v>
      </c>
      <c r="I92" t="s">
        <v>27</v>
      </c>
      <c r="K92">
        <v>30</v>
      </c>
      <c r="L92" t="s">
        <v>36</v>
      </c>
      <c r="M92" t="s">
        <v>33</v>
      </c>
    </row>
    <row r="93" spans="1:13" x14ac:dyDescent="0.45">
      <c r="A93" t="s">
        <v>219</v>
      </c>
      <c r="B93" s="8">
        <v>45054</v>
      </c>
      <c r="C93" s="9">
        <v>0.6694444444444444</v>
      </c>
      <c r="D93" t="s">
        <v>220</v>
      </c>
      <c r="E93" t="s">
        <v>54</v>
      </c>
      <c r="F93">
        <v>26</v>
      </c>
      <c r="G93" t="s">
        <v>208</v>
      </c>
      <c r="H93" t="s">
        <v>26</v>
      </c>
      <c r="I93" t="s">
        <v>76</v>
      </c>
      <c r="K93">
        <v>47</v>
      </c>
      <c r="L93" t="s">
        <v>58</v>
      </c>
      <c r="M93" t="s">
        <v>33</v>
      </c>
    </row>
    <row r="94" spans="1:13" x14ac:dyDescent="0.45">
      <c r="A94" t="s">
        <v>221</v>
      </c>
      <c r="B94" s="8">
        <v>45055</v>
      </c>
      <c r="C94" s="9">
        <v>3.8194444444444448E-2</v>
      </c>
      <c r="D94" t="s">
        <v>222</v>
      </c>
      <c r="E94" t="s">
        <v>54</v>
      </c>
      <c r="F94">
        <v>68</v>
      </c>
      <c r="G94" t="s">
        <v>208</v>
      </c>
      <c r="H94" t="s">
        <v>26</v>
      </c>
      <c r="I94" t="s">
        <v>27</v>
      </c>
      <c r="K94">
        <v>34</v>
      </c>
      <c r="L94" t="s">
        <v>28</v>
      </c>
      <c r="M94" t="s">
        <v>33</v>
      </c>
    </row>
    <row r="95" spans="1:13" x14ac:dyDescent="0.45">
      <c r="A95" t="s">
        <v>223</v>
      </c>
      <c r="B95" s="8">
        <v>45057</v>
      </c>
      <c r="C95" s="9">
        <v>0.95902777777777781</v>
      </c>
      <c r="D95" t="s">
        <v>224</v>
      </c>
      <c r="E95" t="s">
        <v>54</v>
      </c>
      <c r="F95">
        <v>49</v>
      </c>
      <c r="G95" t="s">
        <v>208</v>
      </c>
      <c r="H95" t="s">
        <v>26</v>
      </c>
      <c r="I95" t="s">
        <v>76</v>
      </c>
      <c r="K95">
        <v>31</v>
      </c>
      <c r="L95" t="s">
        <v>36</v>
      </c>
      <c r="M95" t="s">
        <v>33</v>
      </c>
    </row>
    <row r="96" spans="1:13" x14ac:dyDescent="0.45">
      <c r="A96" t="s">
        <v>225</v>
      </c>
      <c r="B96" s="8">
        <v>45413</v>
      </c>
      <c r="C96" s="9">
        <v>0.59305555555555556</v>
      </c>
      <c r="D96" t="s">
        <v>226</v>
      </c>
      <c r="E96" t="s">
        <v>54</v>
      </c>
      <c r="F96">
        <v>12</v>
      </c>
      <c r="G96" t="s">
        <v>208</v>
      </c>
      <c r="H96" t="s">
        <v>26</v>
      </c>
      <c r="I96" t="s">
        <v>76</v>
      </c>
      <c r="K96">
        <v>15</v>
      </c>
      <c r="L96" t="s">
        <v>32</v>
      </c>
      <c r="M96" t="s">
        <v>29</v>
      </c>
    </row>
    <row r="97" spans="1:13" x14ac:dyDescent="0.45">
      <c r="A97" t="s">
        <v>227</v>
      </c>
      <c r="B97" s="8">
        <v>45417</v>
      </c>
      <c r="C97" s="9">
        <v>0.98541666666666672</v>
      </c>
      <c r="D97" t="s">
        <v>228</v>
      </c>
      <c r="E97" t="s">
        <v>54</v>
      </c>
      <c r="F97">
        <v>24</v>
      </c>
      <c r="G97" t="s">
        <v>208</v>
      </c>
      <c r="H97" t="s">
        <v>26</v>
      </c>
      <c r="I97" t="s">
        <v>76</v>
      </c>
      <c r="K97">
        <v>11</v>
      </c>
      <c r="L97" t="s">
        <v>58</v>
      </c>
      <c r="M97" t="s">
        <v>29</v>
      </c>
    </row>
    <row r="98" spans="1:13" x14ac:dyDescent="0.45">
      <c r="A98" t="s">
        <v>229</v>
      </c>
      <c r="B98" s="8">
        <v>45418</v>
      </c>
      <c r="C98" s="9">
        <v>0.32430555555555557</v>
      </c>
      <c r="D98" t="s">
        <v>230</v>
      </c>
      <c r="E98" t="s">
        <v>54</v>
      </c>
      <c r="F98">
        <v>51</v>
      </c>
      <c r="G98" t="s">
        <v>208</v>
      </c>
      <c r="H98" t="s">
        <v>26</v>
      </c>
      <c r="I98" t="s">
        <v>27</v>
      </c>
      <c r="K98">
        <v>26</v>
      </c>
      <c r="L98" t="s">
        <v>39</v>
      </c>
      <c r="M98" t="s">
        <v>29</v>
      </c>
    </row>
    <row r="99" spans="1:13" x14ac:dyDescent="0.45">
      <c r="A99" t="s">
        <v>231</v>
      </c>
      <c r="B99" s="8">
        <v>45050</v>
      </c>
      <c r="C99" s="9">
        <v>0.68819444444444444</v>
      </c>
      <c r="D99" t="s">
        <v>232</v>
      </c>
      <c r="E99" t="s">
        <v>24</v>
      </c>
      <c r="F99">
        <v>49</v>
      </c>
      <c r="G99" t="s">
        <v>233</v>
      </c>
      <c r="H99" t="s">
        <v>26</v>
      </c>
      <c r="I99" t="s">
        <v>27</v>
      </c>
      <c r="K99">
        <v>13</v>
      </c>
      <c r="L99" t="s">
        <v>36</v>
      </c>
      <c r="M99" t="s">
        <v>29</v>
      </c>
    </row>
    <row r="100" spans="1:13" x14ac:dyDescent="0.45">
      <c r="A100" t="s">
        <v>234</v>
      </c>
      <c r="B100" s="8">
        <v>45056</v>
      </c>
      <c r="C100" s="9">
        <v>0.70972222222222225</v>
      </c>
      <c r="D100" t="s">
        <v>235</v>
      </c>
      <c r="E100" t="s">
        <v>24</v>
      </c>
      <c r="F100">
        <v>34</v>
      </c>
      <c r="G100" t="s">
        <v>233</v>
      </c>
      <c r="H100" t="s">
        <v>26</v>
      </c>
      <c r="I100" t="s">
        <v>27</v>
      </c>
      <c r="K100">
        <v>23</v>
      </c>
      <c r="L100" t="s">
        <v>87</v>
      </c>
      <c r="M100" t="s">
        <v>29</v>
      </c>
    </row>
    <row r="101" spans="1:13" x14ac:dyDescent="0.45">
      <c r="A101" t="s">
        <v>236</v>
      </c>
      <c r="B101" s="8">
        <v>45413</v>
      </c>
      <c r="C101" s="9">
        <v>0.84583333333333333</v>
      </c>
      <c r="D101" t="s">
        <v>237</v>
      </c>
      <c r="E101" t="s">
        <v>24</v>
      </c>
      <c r="F101">
        <v>56</v>
      </c>
      <c r="G101" t="s">
        <v>233</v>
      </c>
      <c r="H101" t="s">
        <v>26</v>
      </c>
      <c r="I101" t="s">
        <v>27</v>
      </c>
      <c r="K101">
        <v>47</v>
      </c>
      <c r="L101" t="s">
        <v>39</v>
      </c>
      <c r="M101" t="s">
        <v>33</v>
      </c>
    </row>
    <row r="102" spans="1:13" x14ac:dyDescent="0.45">
      <c r="A102" t="s">
        <v>238</v>
      </c>
      <c r="B102" s="8">
        <v>45419</v>
      </c>
      <c r="C102" s="9">
        <v>0.36319444444444443</v>
      </c>
      <c r="D102" t="s">
        <v>239</v>
      </c>
      <c r="E102" t="s">
        <v>24</v>
      </c>
      <c r="F102">
        <v>19</v>
      </c>
      <c r="G102" t="s">
        <v>233</v>
      </c>
      <c r="H102" t="s">
        <v>26</v>
      </c>
      <c r="I102" t="s">
        <v>27</v>
      </c>
      <c r="K102">
        <v>14</v>
      </c>
      <c r="L102" t="s">
        <v>32</v>
      </c>
      <c r="M102" t="s">
        <v>29</v>
      </c>
    </row>
    <row r="103" spans="1:13" x14ac:dyDescent="0.45">
      <c r="A103" t="s">
        <v>240</v>
      </c>
      <c r="B103" s="8">
        <v>45421</v>
      </c>
      <c r="C103" s="9">
        <v>0.80069444444444449</v>
      </c>
      <c r="D103" t="s">
        <v>241</v>
      </c>
      <c r="E103" t="s">
        <v>54</v>
      </c>
      <c r="F103">
        <v>53</v>
      </c>
      <c r="G103" t="s">
        <v>233</v>
      </c>
      <c r="H103" t="s">
        <v>26</v>
      </c>
      <c r="I103" t="s">
        <v>27</v>
      </c>
      <c r="K103">
        <v>33</v>
      </c>
      <c r="L103" t="s">
        <v>39</v>
      </c>
      <c r="M103" t="s">
        <v>33</v>
      </c>
    </row>
    <row r="104" spans="1:13" x14ac:dyDescent="0.45">
      <c r="A104" t="s">
        <v>242</v>
      </c>
      <c r="B104" s="8">
        <v>45422</v>
      </c>
      <c r="C104" s="9">
        <v>0.82152777777777775</v>
      </c>
      <c r="D104" t="s">
        <v>243</v>
      </c>
      <c r="E104" t="s">
        <v>54</v>
      </c>
      <c r="F104">
        <v>67</v>
      </c>
      <c r="G104" t="s">
        <v>233</v>
      </c>
      <c r="H104" t="s">
        <v>26</v>
      </c>
      <c r="I104" t="s">
        <v>27</v>
      </c>
      <c r="K104">
        <v>32</v>
      </c>
      <c r="L104" t="s">
        <v>28</v>
      </c>
      <c r="M104" t="s">
        <v>33</v>
      </c>
    </row>
    <row r="105" spans="1:13" x14ac:dyDescent="0.45">
      <c r="A105" t="s">
        <v>244</v>
      </c>
      <c r="B105" s="8">
        <v>45051</v>
      </c>
      <c r="C105" s="9">
        <v>0.24166666666666667</v>
      </c>
      <c r="D105" t="s">
        <v>245</v>
      </c>
      <c r="E105" t="s">
        <v>54</v>
      </c>
      <c r="F105">
        <v>23</v>
      </c>
      <c r="G105" t="s">
        <v>233</v>
      </c>
      <c r="H105" t="s">
        <v>26</v>
      </c>
      <c r="I105" t="s">
        <v>76</v>
      </c>
      <c r="K105">
        <v>30</v>
      </c>
      <c r="L105" t="s">
        <v>58</v>
      </c>
      <c r="M105" t="s">
        <v>33</v>
      </c>
    </row>
    <row r="106" spans="1:13" x14ac:dyDescent="0.45">
      <c r="A106" t="s">
        <v>246</v>
      </c>
      <c r="B106" s="8">
        <v>45416</v>
      </c>
      <c r="C106" s="9">
        <v>0.3</v>
      </c>
      <c r="D106" t="s">
        <v>247</v>
      </c>
      <c r="E106" t="s">
        <v>54</v>
      </c>
      <c r="F106">
        <v>33</v>
      </c>
      <c r="G106" t="s">
        <v>233</v>
      </c>
      <c r="H106" t="s">
        <v>26</v>
      </c>
      <c r="I106" t="s">
        <v>76</v>
      </c>
      <c r="K106">
        <v>47</v>
      </c>
      <c r="L106" t="s">
        <v>87</v>
      </c>
      <c r="M106" t="s">
        <v>33</v>
      </c>
    </row>
    <row r="107" spans="1:13" x14ac:dyDescent="0.45">
      <c r="A107" t="s">
        <v>248</v>
      </c>
      <c r="B107" s="8">
        <v>45416</v>
      </c>
      <c r="C107" s="9">
        <v>0.69166666666666665</v>
      </c>
      <c r="D107" t="s">
        <v>249</v>
      </c>
      <c r="E107" t="s">
        <v>54</v>
      </c>
      <c r="F107">
        <v>69</v>
      </c>
      <c r="G107" t="s">
        <v>233</v>
      </c>
      <c r="H107" t="s">
        <v>26</v>
      </c>
      <c r="I107" t="s">
        <v>76</v>
      </c>
      <c r="K107">
        <v>32</v>
      </c>
      <c r="L107" t="s">
        <v>28</v>
      </c>
      <c r="M107" t="s">
        <v>33</v>
      </c>
    </row>
    <row r="108" spans="1:13" x14ac:dyDescent="0.45">
      <c r="A108" t="s">
        <v>250</v>
      </c>
      <c r="B108" s="8">
        <v>45417</v>
      </c>
      <c r="C108" s="9">
        <v>0.4777777777777778</v>
      </c>
      <c r="D108" t="s">
        <v>251</v>
      </c>
      <c r="E108" t="s">
        <v>24</v>
      </c>
      <c r="F108">
        <v>9</v>
      </c>
      <c r="G108" t="s">
        <v>233</v>
      </c>
      <c r="H108" t="s">
        <v>26</v>
      </c>
      <c r="I108" t="s">
        <v>76</v>
      </c>
      <c r="K108">
        <v>24</v>
      </c>
      <c r="L108" t="s">
        <v>55</v>
      </c>
      <c r="M108" t="s">
        <v>29</v>
      </c>
    </row>
    <row r="109" spans="1:13" x14ac:dyDescent="0.45">
      <c r="A109" t="s">
        <v>252</v>
      </c>
      <c r="B109" s="8">
        <v>45420</v>
      </c>
      <c r="C109" s="9">
        <v>0.21805555555555556</v>
      </c>
      <c r="D109" t="s">
        <v>253</v>
      </c>
      <c r="E109" t="s">
        <v>54</v>
      </c>
      <c r="F109">
        <v>38</v>
      </c>
      <c r="G109" t="s">
        <v>233</v>
      </c>
      <c r="H109" t="s">
        <v>26</v>
      </c>
      <c r="I109" t="s">
        <v>76</v>
      </c>
      <c r="K109">
        <v>57</v>
      </c>
      <c r="L109" t="s">
        <v>87</v>
      </c>
      <c r="M109" t="s">
        <v>33</v>
      </c>
    </row>
    <row r="110" spans="1:13" x14ac:dyDescent="0.45">
      <c r="A110" t="s">
        <v>254</v>
      </c>
      <c r="B110" s="8">
        <v>45051</v>
      </c>
      <c r="C110" s="9">
        <v>0.82361111111111107</v>
      </c>
      <c r="D110" t="s">
        <v>255</v>
      </c>
      <c r="E110" t="s">
        <v>54</v>
      </c>
      <c r="F110">
        <v>6</v>
      </c>
      <c r="G110" t="s">
        <v>256</v>
      </c>
      <c r="H110" t="s">
        <v>26</v>
      </c>
      <c r="I110" t="s">
        <v>76</v>
      </c>
      <c r="K110">
        <v>14</v>
      </c>
      <c r="L110" t="s">
        <v>55</v>
      </c>
      <c r="M110" t="s">
        <v>29</v>
      </c>
    </row>
    <row r="111" spans="1:13" x14ac:dyDescent="0.45">
      <c r="A111" t="s">
        <v>257</v>
      </c>
      <c r="B111" s="8">
        <v>45056</v>
      </c>
      <c r="C111" s="9">
        <v>0.99722222222222223</v>
      </c>
      <c r="D111" t="s">
        <v>258</v>
      </c>
      <c r="E111" t="s">
        <v>24</v>
      </c>
      <c r="F111">
        <v>12</v>
      </c>
      <c r="G111" t="s">
        <v>256</v>
      </c>
      <c r="H111" t="s">
        <v>26</v>
      </c>
      <c r="I111" t="s">
        <v>76</v>
      </c>
      <c r="K111">
        <v>11</v>
      </c>
      <c r="L111" t="s">
        <v>32</v>
      </c>
      <c r="M111" t="s">
        <v>29</v>
      </c>
    </row>
    <row r="112" spans="1:13" x14ac:dyDescent="0.45">
      <c r="A112" t="s">
        <v>259</v>
      </c>
      <c r="B112" s="8">
        <v>45057</v>
      </c>
      <c r="C112" s="9">
        <v>0.40972222222222221</v>
      </c>
      <c r="D112" t="s">
        <v>260</v>
      </c>
      <c r="E112" t="s">
        <v>54</v>
      </c>
      <c r="F112">
        <v>41</v>
      </c>
      <c r="G112" t="s">
        <v>256</v>
      </c>
      <c r="H112" t="s">
        <v>26</v>
      </c>
      <c r="I112" t="s">
        <v>76</v>
      </c>
      <c r="K112">
        <v>21</v>
      </c>
      <c r="L112" t="s">
        <v>36</v>
      </c>
      <c r="M112" t="s">
        <v>29</v>
      </c>
    </row>
    <row r="113" spans="1:13" x14ac:dyDescent="0.45">
      <c r="A113" t="s">
        <v>261</v>
      </c>
      <c r="B113" s="8">
        <v>45413</v>
      </c>
      <c r="C113" s="9">
        <v>0.98750000000000004</v>
      </c>
      <c r="D113" t="s">
        <v>262</v>
      </c>
      <c r="E113" t="s">
        <v>24</v>
      </c>
      <c r="F113">
        <v>8</v>
      </c>
      <c r="G113" t="s">
        <v>256</v>
      </c>
      <c r="H113" t="s">
        <v>26</v>
      </c>
      <c r="I113" t="s">
        <v>27</v>
      </c>
      <c r="K113">
        <v>56</v>
      </c>
      <c r="L113" t="s">
        <v>55</v>
      </c>
      <c r="M113" t="s">
        <v>33</v>
      </c>
    </row>
    <row r="114" spans="1:13" x14ac:dyDescent="0.45">
      <c r="A114" t="s">
        <v>263</v>
      </c>
      <c r="B114" s="8">
        <v>45413</v>
      </c>
      <c r="C114" s="9">
        <v>0.72222222222222221</v>
      </c>
      <c r="D114" t="s">
        <v>264</v>
      </c>
      <c r="E114" t="s">
        <v>54</v>
      </c>
      <c r="F114">
        <v>13</v>
      </c>
      <c r="G114" t="s">
        <v>256</v>
      </c>
      <c r="H114" t="s">
        <v>26</v>
      </c>
      <c r="I114" t="s">
        <v>76</v>
      </c>
      <c r="K114">
        <v>44</v>
      </c>
      <c r="L114" t="s">
        <v>32</v>
      </c>
      <c r="M114" t="s">
        <v>33</v>
      </c>
    </row>
    <row r="115" spans="1:13" x14ac:dyDescent="0.45">
      <c r="A115" t="s">
        <v>265</v>
      </c>
      <c r="B115" s="8">
        <v>45416</v>
      </c>
      <c r="C115" s="9">
        <v>0.57013888888888886</v>
      </c>
      <c r="D115" t="s">
        <v>266</v>
      </c>
      <c r="E115" t="s">
        <v>54</v>
      </c>
      <c r="F115">
        <v>25</v>
      </c>
      <c r="G115" t="s">
        <v>256</v>
      </c>
      <c r="H115" t="s">
        <v>26</v>
      </c>
      <c r="I115" t="s">
        <v>27</v>
      </c>
      <c r="K115">
        <v>30</v>
      </c>
      <c r="L115" t="s">
        <v>58</v>
      </c>
      <c r="M115" t="s">
        <v>33</v>
      </c>
    </row>
    <row r="116" spans="1:13" x14ac:dyDescent="0.45">
      <c r="A116" t="s">
        <v>267</v>
      </c>
      <c r="B116" s="8">
        <v>45050</v>
      </c>
      <c r="C116" s="9">
        <v>0.91527777777777775</v>
      </c>
      <c r="D116" t="s">
        <v>268</v>
      </c>
      <c r="E116" t="s">
        <v>24</v>
      </c>
      <c r="F116">
        <v>10</v>
      </c>
      <c r="G116" t="s">
        <v>269</v>
      </c>
      <c r="H116" t="s">
        <v>26</v>
      </c>
      <c r="I116" t="s">
        <v>27</v>
      </c>
      <c r="K116">
        <v>17</v>
      </c>
      <c r="L116" t="s">
        <v>55</v>
      </c>
      <c r="M116" t="s">
        <v>29</v>
      </c>
    </row>
    <row r="117" spans="1:13" x14ac:dyDescent="0.45">
      <c r="A117" t="s">
        <v>270</v>
      </c>
      <c r="B117" s="8">
        <v>45050</v>
      </c>
      <c r="C117" s="9">
        <v>0.52847222222222223</v>
      </c>
      <c r="D117" t="s">
        <v>271</v>
      </c>
      <c r="E117" t="s">
        <v>24</v>
      </c>
      <c r="F117">
        <v>8</v>
      </c>
      <c r="G117" t="s">
        <v>269</v>
      </c>
      <c r="H117" t="s">
        <v>26</v>
      </c>
      <c r="I117" t="s">
        <v>27</v>
      </c>
      <c r="K117">
        <v>30</v>
      </c>
      <c r="L117" t="s">
        <v>55</v>
      </c>
      <c r="M117" t="s">
        <v>33</v>
      </c>
    </row>
    <row r="118" spans="1:13" x14ac:dyDescent="0.45">
      <c r="A118" t="s">
        <v>272</v>
      </c>
      <c r="B118" s="8">
        <v>45051</v>
      </c>
      <c r="C118" s="9">
        <v>0.8</v>
      </c>
      <c r="D118" t="s">
        <v>273</v>
      </c>
      <c r="E118" t="s">
        <v>54</v>
      </c>
      <c r="F118">
        <v>40</v>
      </c>
      <c r="G118" t="s">
        <v>269</v>
      </c>
      <c r="H118" t="s">
        <v>26</v>
      </c>
      <c r="I118" t="s">
        <v>27</v>
      </c>
      <c r="K118">
        <v>32</v>
      </c>
      <c r="L118" t="s">
        <v>87</v>
      </c>
      <c r="M118" t="s">
        <v>33</v>
      </c>
    </row>
    <row r="119" spans="1:13" x14ac:dyDescent="0.45">
      <c r="A119" t="s">
        <v>274</v>
      </c>
      <c r="B119" s="8">
        <v>45052</v>
      </c>
      <c r="C119" s="9">
        <v>0.59583333333333333</v>
      </c>
      <c r="D119" t="s">
        <v>275</v>
      </c>
      <c r="E119" t="s">
        <v>54</v>
      </c>
      <c r="F119">
        <v>68</v>
      </c>
      <c r="G119" t="s">
        <v>269</v>
      </c>
      <c r="H119" t="s">
        <v>26</v>
      </c>
      <c r="I119" t="s">
        <v>76</v>
      </c>
      <c r="K119">
        <v>23</v>
      </c>
      <c r="L119" t="s">
        <v>28</v>
      </c>
      <c r="M119" t="s">
        <v>29</v>
      </c>
    </row>
    <row r="120" spans="1:13" x14ac:dyDescent="0.45">
      <c r="A120" t="s">
        <v>276</v>
      </c>
      <c r="B120" s="8">
        <v>45052</v>
      </c>
      <c r="C120" s="9">
        <v>0.52777777777777779</v>
      </c>
      <c r="D120" t="s">
        <v>277</v>
      </c>
      <c r="E120" t="s">
        <v>24</v>
      </c>
      <c r="F120">
        <v>22</v>
      </c>
      <c r="G120" t="s">
        <v>269</v>
      </c>
      <c r="H120" t="s">
        <v>26</v>
      </c>
      <c r="I120" t="s">
        <v>27</v>
      </c>
      <c r="K120">
        <v>37</v>
      </c>
      <c r="L120" t="s">
        <v>58</v>
      </c>
      <c r="M120" t="s">
        <v>33</v>
      </c>
    </row>
    <row r="121" spans="1:13" x14ac:dyDescent="0.45">
      <c r="A121" t="s">
        <v>278</v>
      </c>
      <c r="B121" s="8">
        <v>45053</v>
      </c>
      <c r="C121" s="9">
        <v>0.58333333333333337</v>
      </c>
      <c r="D121" t="s">
        <v>279</v>
      </c>
      <c r="E121" t="s">
        <v>54</v>
      </c>
      <c r="F121">
        <v>39</v>
      </c>
      <c r="G121" t="s">
        <v>269</v>
      </c>
      <c r="H121" t="s">
        <v>26</v>
      </c>
      <c r="I121" t="s">
        <v>76</v>
      </c>
      <c r="K121">
        <v>19</v>
      </c>
      <c r="L121" t="s">
        <v>87</v>
      </c>
      <c r="M121" t="s">
        <v>29</v>
      </c>
    </row>
    <row r="122" spans="1:13" x14ac:dyDescent="0.45">
      <c r="A122" t="s">
        <v>280</v>
      </c>
      <c r="B122" s="8">
        <v>45057</v>
      </c>
      <c r="C122" s="9">
        <v>0.75555555555555554</v>
      </c>
      <c r="D122" t="s">
        <v>281</v>
      </c>
      <c r="E122" t="s">
        <v>24</v>
      </c>
      <c r="F122">
        <v>19</v>
      </c>
      <c r="G122" t="s">
        <v>269</v>
      </c>
      <c r="H122" t="s">
        <v>26</v>
      </c>
      <c r="I122" t="s">
        <v>27</v>
      </c>
      <c r="K122">
        <v>30</v>
      </c>
      <c r="L122" t="s">
        <v>32</v>
      </c>
      <c r="M122" t="s">
        <v>33</v>
      </c>
    </row>
    <row r="123" spans="1:13" x14ac:dyDescent="0.45">
      <c r="A123" t="s">
        <v>282</v>
      </c>
      <c r="B123" s="8">
        <v>45413</v>
      </c>
      <c r="C123" s="9">
        <v>0.1763888888888889</v>
      </c>
      <c r="D123" t="s">
        <v>283</v>
      </c>
      <c r="E123" t="s">
        <v>24</v>
      </c>
      <c r="F123">
        <v>16</v>
      </c>
      <c r="G123" t="s">
        <v>269</v>
      </c>
      <c r="H123" t="s">
        <v>26</v>
      </c>
      <c r="I123" t="s">
        <v>76</v>
      </c>
      <c r="K123">
        <v>20</v>
      </c>
      <c r="L123" t="s">
        <v>32</v>
      </c>
      <c r="M123" t="s">
        <v>29</v>
      </c>
    </row>
    <row r="124" spans="1:13" x14ac:dyDescent="0.45">
      <c r="A124" t="s">
        <v>284</v>
      </c>
      <c r="B124" s="8">
        <v>45414</v>
      </c>
      <c r="C124" s="9">
        <v>0.47569444444444442</v>
      </c>
      <c r="D124" t="s">
        <v>285</v>
      </c>
      <c r="E124" t="s">
        <v>24</v>
      </c>
      <c r="F124">
        <v>10</v>
      </c>
      <c r="G124" t="s">
        <v>269</v>
      </c>
      <c r="H124" t="s">
        <v>26</v>
      </c>
      <c r="I124" t="s">
        <v>76</v>
      </c>
      <c r="K124">
        <v>44</v>
      </c>
      <c r="L124" t="s">
        <v>55</v>
      </c>
      <c r="M124" t="s">
        <v>33</v>
      </c>
    </row>
    <row r="125" spans="1:13" x14ac:dyDescent="0.45">
      <c r="A125" t="s">
        <v>286</v>
      </c>
      <c r="B125" s="8">
        <v>45417</v>
      </c>
      <c r="C125" s="9">
        <v>0.71180555555555558</v>
      </c>
      <c r="D125" t="s">
        <v>287</v>
      </c>
      <c r="E125" t="s">
        <v>54</v>
      </c>
      <c r="F125">
        <v>2</v>
      </c>
      <c r="G125" t="s">
        <v>269</v>
      </c>
      <c r="H125" t="s">
        <v>26</v>
      </c>
      <c r="I125" t="s">
        <v>76</v>
      </c>
      <c r="K125">
        <v>48</v>
      </c>
      <c r="L125" t="s">
        <v>55</v>
      </c>
      <c r="M125" t="s">
        <v>33</v>
      </c>
    </row>
    <row r="126" spans="1:13" x14ac:dyDescent="0.45">
      <c r="A126" t="s">
        <v>288</v>
      </c>
      <c r="B126" s="8">
        <v>45420</v>
      </c>
      <c r="C126" s="9">
        <v>0.65208333333333335</v>
      </c>
      <c r="D126" t="s">
        <v>289</v>
      </c>
      <c r="E126" t="s">
        <v>54</v>
      </c>
      <c r="F126">
        <v>13</v>
      </c>
      <c r="G126" t="s">
        <v>269</v>
      </c>
      <c r="H126" t="s">
        <v>26</v>
      </c>
      <c r="I126" t="s">
        <v>27</v>
      </c>
      <c r="K126">
        <v>55</v>
      </c>
      <c r="L126" t="s">
        <v>32</v>
      </c>
      <c r="M126" t="s">
        <v>33</v>
      </c>
    </row>
    <row r="127" spans="1:13" x14ac:dyDescent="0.45">
      <c r="A127" t="s">
        <v>290</v>
      </c>
      <c r="B127" s="8">
        <v>45422</v>
      </c>
      <c r="C127" s="9">
        <v>0.74791666666666667</v>
      </c>
      <c r="D127" t="s">
        <v>291</v>
      </c>
      <c r="E127" t="s">
        <v>54</v>
      </c>
      <c r="F127">
        <v>56</v>
      </c>
      <c r="G127" t="s">
        <v>269</v>
      </c>
      <c r="H127" t="s">
        <v>26</v>
      </c>
      <c r="I127" t="s">
        <v>76</v>
      </c>
      <c r="K127">
        <v>15</v>
      </c>
      <c r="L127" t="s">
        <v>39</v>
      </c>
      <c r="M127" t="s">
        <v>29</v>
      </c>
    </row>
    <row r="128" spans="1:13" x14ac:dyDescent="0.45">
      <c r="A128" t="s">
        <v>292</v>
      </c>
      <c r="B128" s="8">
        <v>45050</v>
      </c>
      <c r="C128" s="9">
        <v>0.63055555555555554</v>
      </c>
      <c r="D128" t="s">
        <v>293</v>
      </c>
      <c r="E128" t="s">
        <v>24</v>
      </c>
      <c r="F128">
        <v>76</v>
      </c>
      <c r="G128" t="s">
        <v>256</v>
      </c>
      <c r="H128" t="s">
        <v>294</v>
      </c>
      <c r="I128" t="s">
        <v>76</v>
      </c>
      <c r="K128">
        <v>27</v>
      </c>
      <c r="L128" t="s">
        <v>67</v>
      </c>
      <c r="M128" t="s">
        <v>29</v>
      </c>
    </row>
    <row r="129" spans="1:13" x14ac:dyDescent="0.45">
      <c r="A129" t="s">
        <v>295</v>
      </c>
      <c r="B129" s="8">
        <v>45050</v>
      </c>
      <c r="C129" s="9">
        <v>0.7631944444444444</v>
      </c>
      <c r="D129" t="s">
        <v>296</v>
      </c>
      <c r="E129" t="s">
        <v>54</v>
      </c>
      <c r="F129">
        <v>76</v>
      </c>
      <c r="G129" t="s">
        <v>208</v>
      </c>
      <c r="H129" t="s">
        <v>294</v>
      </c>
      <c r="I129" t="s">
        <v>76</v>
      </c>
      <c r="K129">
        <v>54</v>
      </c>
      <c r="L129" t="s">
        <v>67</v>
      </c>
      <c r="M129" t="s">
        <v>33</v>
      </c>
    </row>
    <row r="130" spans="1:13" x14ac:dyDescent="0.45">
      <c r="A130" t="s">
        <v>297</v>
      </c>
      <c r="B130" s="8">
        <v>45050</v>
      </c>
      <c r="C130" s="9">
        <v>0.74375000000000002</v>
      </c>
      <c r="D130" t="s">
        <v>298</v>
      </c>
      <c r="E130" t="s">
        <v>24</v>
      </c>
      <c r="F130">
        <v>7</v>
      </c>
      <c r="G130" t="s">
        <v>208</v>
      </c>
      <c r="H130" t="s">
        <v>294</v>
      </c>
      <c r="I130" t="s">
        <v>76</v>
      </c>
      <c r="K130">
        <v>42</v>
      </c>
      <c r="L130" t="s">
        <v>55</v>
      </c>
      <c r="M130" t="s">
        <v>33</v>
      </c>
    </row>
    <row r="131" spans="1:13" x14ac:dyDescent="0.45">
      <c r="A131" t="s">
        <v>299</v>
      </c>
      <c r="B131" s="8">
        <v>45051</v>
      </c>
      <c r="C131" s="9">
        <v>3.6111111111111108E-2</v>
      </c>
      <c r="D131" t="s">
        <v>300</v>
      </c>
      <c r="E131" t="s">
        <v>54</v>
      </c>
      <c r="F131">
        <v>42</v>
      </c>
      <c r="G131" t="s">
        <v>269</v>
      </c>
      <c r="H131" t="s">
        <v>294</v>
      </c>
      <c r="I131" t="s">
        <v>76</v>
      </c>
      <c r="K131">
        <v>11</v>
      </c>
      <c r="L131" t="s">
        <v>36</v>
      </c>
      <c r="M131" t="s">
        <v>29</v>
      </c>
    </row>
    <row r="132" spans="1:13" x14ac:dyDescent="0.45">
      <c r="A132" t="s">
        <v>301</v>
      </c>
      <c r="B132" s="8">
        <v>45054</v>
      </c>
      <c r="C132" s="9">
        <v>0.48055555555555557</v>
      </c>
      <c r="D132" t="s">
        <v>302</v>
      </c>
      <c r="E132" t="s">
        <v>54</v>
      </c>
      <c r="F132">
        <v>15</v>
      </c>
      <c r="G132" t="s">
        <v>256</v>
      </c>
      <c r="H132" t="s">
        <v>294</v>
      </c>
      <c r="I132" t="s">
        <v>27</v>
      </c>
      <c r="K132">
        <v>57</v>
      </c>
      <c r="L132" t="s">
        <v>32</v>
      </c>
      <c r="M132" t="s">
        <v>33</v>
      </c>
    </row>
    <row r="133" spans="1:13" x14ac:dyDescent="0.45">
      <c r="A133" t="s">
        <v>303</v>
      </c>
      <c r="B133" s="8">
        <v>45055</v>
      </c>
      <c r="C133" s="9">
        <v>0.27500000000000002</v>
      </c>
      <c r="D133" t="s">
        <v>304</v>
      </c>
      <c r="E133" t="s">
        <v>54</v>
      </c>
      <c r="F133">
        <v>50</v>
      </c>
      <c r="G133" t="s">
        <v>233</v>
      </c>
      <c r="H133" t="s">
        <v>294</v>
      </c>
      <c r="I133" t="s">
        <v>76</v>
      </c>
      <c r="K133">
        <v>10</v>
      </c>
      <c r="L133" t="s">
        <v>36</v>
      </c>
      <c r="M133" t="s">
        <v>29</v>
      </c>
    </row>
    <row r="134" spans="1:13" x14ac:dyDescent="0.45">
      <c r="A134" t="s">
        <v>305</v>
      </c>
      <c r="B134" s="8">
        <v>45055</v>
      </c>
      <c r="C134" s="9">
        <v>0.83680555555555558</v>
      </c>
      <c r="D134" t="s">
        <v>306</v>
      </c>
      <c r="E134" t="s">
        <v>54</v>
      </c>
      <c r="F134">
        <v>44</v>
      </c>
      <c r="G134" t="s">
        <v>269</v>
      </c>
      <c r="H134" t="s">
        <v>294</v>
      </c>
      <c r="I134" t="s">
        <v>27</v>
      </c>
      <c r="K134">
        <v>27</v>
      </c>
      <c r="L134" t="s">
        <v>36</v>
      </c>
      <c r="M134" t="s">
        <v>29</v>
      </c>
    </row>
    <row r="135" spans="1:13" x14ac:dyDescent="0.45">
      <c r="A135" t="s">
        <v>307</v>
      </c>
      <c r="B135" s="8">
        <v>45057</v>
      </c>
      <c r="C135" s="9">
        <v>0.59375</v>
      </c>
      <c r="D135" t="s">
        <v>308</v>
      </c>
      <c r="E135" t="s">
        <v>24</v>
      </c>
      <c r="F135">
        <v>50</v>
      </c>
      <c r="G135" t="s">
        <v>208</v>
      </c>
      <c r="H135" t="s">
        <v>294</v>
      </c>
      <c r="I135" t="s">
        <v>27</v>
      </c>
      <c r="K135">
        <v>19</v>
      </c>
      <c r="L135" t="s">
        <v>36</v>
      </c>
      <c r="M135" t="s">
        <v>29</v>
      </c>
    </row>
    <row r="136" spans="1:13" x14ac:dyDescent="0.45">
      <c r="A136" t="s">
        <v>309</v>
      </c>
      <c r="B136" s="8">
        <v>45057</v>
      </c>
      <c r="C136" s="9">
        <v>0.26805555555555555</v>
      </c>
      <c r="D136" t="s">
        <v>310</v>
      </c>
      <c r="E136" t="s">
        <v>54</v>
      </c>
      <c r="F136">
        <v>2</v>
      </c>
      <c r="G136" t="s">
        <v>233</v>
      </c>
      <c r="H136" t="s">
        <v>294</v>
      </c>
      <c r="I136" t="s">
        <v>27</v>
      </c>
      <c r="K136">
        <v>19</v>
      </c>
      <c r="L136" t="s">
        <v>55</v>
      </c>
      <c r="M136" t="s">
        <v>29</v>
      </c>
    </row>
    <row r="137" spans="1:13" x14ac:dyDescent="0.45">
      <c r="A137" t="s">
        <v>311</v>
      </c>
      <c r="B137" s="8">
        <v>45058</v>
      </c>
      <c r="C137" s="9">
        <v>6.458333333333334E-2</v>
      </c>
      <c r="D137" t="s">
        <v>312</v>
      </c>
      <c r="E137" t="s">
        <v>54</v>
      </c>
      <c r="F137">
        <v>32</v>
      </c>
      <c r="G137" t="s">
        <v>208</v>
      </c>
      <c r="H137" t="s">
        <v>294</v>
      </c>
      <c r="I137" t="s">
        <v>27</v>
      </c>
      <c r="K137">
        <v>39</v>
      </c>
      <c r="L137" t="s">
        <v>87</v>
      </c>
      <c r="M137" t="s">
        <v>33</v>
      </c>
    </row>
    <row r="138" spans="1:13" x14ac:dyDescent="0.45">
      <c r="A138" t="s">
        <v>313</v>
      </c>
      <c r="B138" s="8">
        <v>45058</v>
      </c>
      <c r="C138" s="9">
        <v>7.7777777777777779E-2</v>
      </c>
      <c r="D138" t="s">
        <v>314</v>
      </c>
      <c r="E138" t="s">
        <v>54</v>
      </c>
      <c r="F138">
        <v>62</v>
      </c>
      <c r="G138" t="s">
        <v>208</v>
      </c>
      <c r="H138" t="s">
        <v>294</v>
      </c>
      <c r="I138" t="s">
        <v>27</v>
      </c>
      <c r="K138">
        <v>45</v>
      </c>
      <c r="L138" t="s">
        <v>28</v>
      </c>
      <c r="M138" t="s">
        <v>33</v>
      </c>
    </row>
    <row r="139" spans="1:13" x14ac:dyDescent="0.45">
      <c r="A139" t="s">
        <v>315</v>
      </c>
      <c r="B139" s="8">
        <v>45413</v>
      </c>
      <c r="C139" s="9">
        <v>0.38333333333333336</v>
      </c>
      <c r="D139" t="s">
        <v>316</v>
      </c>
      <c r="E139" t="s">
        <v>54</v>
      </c>
      <c r="F139">
        <v>51</v>
      </c>
      <c r="G139" t="s">
        <v>233</v>
      </c>
      <c r="H139" t="s">
        <v>294</v>
      </c>
      <c r="I139" t="s">
        <v>76</v>
      </c>
      <c r="K139">
        <v>16</v>
      </c>
      <c r="L139" t="s">
        <v>39</v>
      </c>
      <c r="M139" t="s">
        <v>29</v>
      </c>
    </row>
    <row r="140" spans="1:13" x14ac:dyDescent="0.45">
      <c r="A140" t="s">
        <v>317</v>
      </c>
      <c r="B140" s="8">
        <v>45414</v>
      </c>
      <c r="C140" s="9">
        <v>0.66180555555555554</v>
      </c>
      <c r="D140" t="s">
        <v>318</v>
      </c>
      <c r="E140" t="s">
        <v>54</v>
      </c>
      <c r="F140">
        <v>3</v>
      </c>
      <c r="G140" t="s">
        <v>233</v>
      </c>
      <c r="H140" t="s">
        <v>294</v>
      </c>
      <c r="I140" t="s">
        <v>27</v>
      </c>
      <c r="K140">
        <v>42</v>
      </c>
      <c r="L140" t="s">
        <v>55</v>
      </c>
      <c r="M140" t="s">
        <v>33</v>
      </c>
    </row>
    <row r="141" spans="1:13" x14ac:dyDescent="0.45">
      <c r="A141" t="s">
        <v>319</v>
      </c>
      <c r="B141" s="8">
        <v>45415</v>
      </c>
      <c r="C141" s="9">
        <v>0.58402777777777781</v>
      </c>
      <c r="D141" t="s">
        <v>320</v>
      </c>
      <c r="E141" t="s">
        <v>24</v>
      </c>
      <c r="F141">
        <v>47</v>
      </c>
      <c r="G141" t="s">
        <v>233</v>
      </c>
      <c r="H141" t="s">
        <v>294</v>
      </c>
      <c r="I141" t="s">
        <v>76</v>
      </c>
      <c r="K141">
        <v>45</v>
      </c>
      <c r="L141" t="s">
        <v>36</v>
      </c>
      <c r="M141" t="s">
        <v>33</v>
      </c>
    </row>
    <row r="142" spans="1:13" x14ac:dyDescent="0.45">
      <c r="A142" t="s">
        <v>321</v>
      </c>
      <c r="B142" s="8">
        <v>45415</v>
      </c>
      <c r="C142" s="9">
        <v>0.89375000000000004</v>
      </c>
      <c r="D142" t="s">
        <v>322</v>
      </c>
      <c r="E142" t="s">
        <v>54</v>
      </c>
      <c r="F142">
        <v>30</v>
      </c>
      <c r="G142" t="s">
        <v>256</v>
      </c>
      <c r="H142" t="s">
        <v>294</v>
      </c>
      <c r="I142" t="s">
        <v>27</v>
      </c>
      <c r="K142">
        <v>57</v>
      </c>
      <c r="L142" t="s">
        <v>58</v>
      </c>
      <c r="M142" t="s">
        <v>33</v>
      </c>
    </row>
    <row r="143" spans="1:13" x14ac:dyDescent="0.45">
      <c r="A143" t="s">
        <v>323</v>
      </c>
      <c r="B143" s="8">
        <v>45415</v>
      </c>
      <c r="C143" s="9">
        <v>0.99444444444444446</v>
      </c>
      <c r="D143" t="s">
        <v>324</v>
      </c>
      <c r="E143" t="s">
        <v>54</v>
      </c>
      <c r="F143">
        <v>2</v>
      </c>
      <c r="G143" t="s">
        <v>269</v>
      </c>
      <c r="H143" t="s">
        <v>294</v>
      </c>
      <c r="I143" t="s">
        <v>27</v>
      </c>
      <c r="K143">
        <v>29</v>
      </c>
      <c r="L143" t="s">
        <v>55</v>
      </c>
      <c r="M143" t="s">
        <v>29</v>
      </c>
    </row>
    <row r="144" spans="1:13" x14ac:dyDescent="0.45">
      <c r="A144" t="s">
        <v>325</v>
      </c>
      <c r="B144" s="8">
        <v>45417</v>
      </c>
      <c r="C144" s="9">
        <v>0.59166666666666667</v>
      </c>
      <c r="D144" t="s">
        <v>326</v>
      </c>
      <c r="E144" t="s">
        <v>54</v>
      </c>
      <c r="F144">
        <v>1</v>
      </c>
      <c r="G144" t="s">
        <v>233</v>
      </c>
      <c r="H144" t="s">
        <v>294</v>
      </c>
      <c r="I144" t="s">
        <v>76</v>
      </c>
      <c r="K144">
        <v>35</v>
      </c>
      <c r="L144" t="s">
        <v>55</v>
      </c>
      <c r="M144" t="s">
        <v>33</v>
      </c>
    </row>
    <row r="145" spans="1:13" x14ac:dyDescent="0.45">
      <c r="A145" t="s">
        <v>327</v>
      </c>
      <c r="B145" s="8">
        <v>45418</v>
      </c>
      <c r="C145" s="9">
        <v>0.97986111111111107</v>
      </c>
      <c r="D145" t="s">
        <v>328</v>
      </c>
      <c r="E145" t="s">
        <v>24</v>
      </c>
      <c r="F145">
        <v>57</v>
      </c>
      <c r="G145" t="s">
        <v>208</v>
      </c>
      <c r="H145" t="s">
        <v>294</v>
      </c>
      <c r="I145" t="s">
        <v>27</v>
      </c>
      <c r="K145">
        <v>18</v>
      </c>
      <c r="L145" t="s">
        <v>39</v>
      </c>
      <c r="M145" t="s">
        <v>29</v>
      </c>
    </row>
    <row r="146" spans="1:13" x14ac:dyDescent="0.45">
      <c r="A146" t="s">
        <v>329</v>
      </c>
      <c r="B146" s="8">
        <v>45420</v>
      </c>
      <c r="C146" s="9">
        <v>0.21736111111111112</v>
      </c>
      <c r="D146" t="s">
        <v>330</v>
      </c>
      <c r="E146" t="s">
        <v>24</v>
      </c>
      <c r="F146">
        <v>18</v>
      </c>
      <c r="G146" t="s">
        <v>256</v>
      </c>
      <c r="H146" t="s">
        <v>294</v>
      </c>
      <c r="I146" t="s">
        <v>76</v>
      </c>
      <c r="K146">
        <v>13</v>
      </c>
      <c r="L146" t="s">
        <v>32</v>
      </c>
      <c r="M146" t="s">
        <v>29</v>
      </c>
    </row>
    <row r="147" spans="1:13" x14ac:dyDescent="0.45">
      <c r="A147" t="s">
        <v>331</v>
      </c>
      <c r="B147" s="8">
        <v>45422</v>
      </c>
      <c r="C147" s="9">
        <v>0.96388888888888891</v>
      </c>
      <c r="D147" t="s">
        <v>332</v>
      </c>
      <c r="E147" t="s">
        <v>24</v>
      </c>
      <c r="F147">
        <v>41</v>
      </c>
      <c r="G147" t="s">
        <v>256</v>
      </c>
      <c r="H147" t="s">
        <v>294</v>
      </c>
      <c r="I147" t="s">
        <v>76</v>
      </c>
      <c r="K147">
        <v>50</v>
      </c>
      <c r="L147" t="s">
        <v>36</v>
      </c>
      <c r="M147" t="s">
        <v>33</v>
      </c>
    </row>
    <row r="148" spans="1:13" x14ac:dyDescent="0.45">
      <c r="A148" t="s">
        <v>333</v>
      </c>
      <c r="B148" s="8">
        <v>45055</v>
      </c>
      <c r="C148" s="9">
        <v>0.86319444444444449</v>
      </c>
      <c r="D148" t="s">
        <v>334</v>
      </c>
      <c r="E148" t="s">
        <v>54</v>
      </c>
      <c r="F148">
        <v>9</v>
      </c>
      <c r="G148" t="s">
        <v>161</v>
      </c>
      <c r="H148" t="s">
        <v>294</v>
      </c>
      <c r="I148" t="s">
        <v>27</v>
      </c>
      <c r="K148">
        <v>42</v>
      </c>
      <c r="L148" t="s">
        <v>55</v>
      </c>
      <c r="M148" t="s">
        <v>33</v>
      </c>
    </row>
    <row r="149" spans="1:13" x14ac:dyDescent="0.45">
      <c r="A149" t="s">
        <v>335</v>
      </c>
      <c r="B149" s="8">
        <v>45058</v>
      </c>
      <c r="C149" s="9">
        <v>0.65138888888888891</v>
      </c>
      <c r="D149" t="s">
        <v>336</v>
      </c>
      <c r="E149" t="s">
        <v>54</v>
      </c>
      <c r="F149">
        <v>4</v>
      </c>
      <c r="G149" t="s">
        <v>161</v>
      </c>
      <c r="H149" t="s">
        <v>294</v>
      </c>
      <c r="I149" t="s">
        <v>27</v>
      </c>
      <c r="K149">
        <v>51</v>
      </c>
      <c r="L149" t="s">
        <v>55</v>
      </c>
      <c r="M149" t="s">
        <v>33</v>
      </c>
    </row>
    <row r="150" spans="1:13" x14ac:dyDescent="0.45">
      <c r="A150" t="s">
        <v>337</v>
      </c>
      <c r="B150" s="8">
        <v>45058</v>
      </c>
      <c r="C150" s="9">
        <v>5.5555555555555558E-3</v>
      </c>
      <c r="D150" t="s">
        <v>338</v>
      </c>
      <c r="E150" t="s">
        <v>24</v>
      </c>
      <c r="F150">
        <v>57</v>
      </c>
      <c r="G150" t="s">
        <v>161</v>
      </c>
      <c r="H150" t="s">
        <v>294</v>
      </c>
      <c r="I150" t="s">
        <v>76</v>
      </c>
      <c r="K150">
        <v>28</v>
      </c>
      <c r="L150" t="s">
        <v>39</v>
      </c>
      <c r="M150" t="s">
        <v>29</v>
      </c>
    </row>
    <row r="151" spans="1:13" x14ac:dyDescent="0.45">
      <c r="A151" t="s">
        <v>339</v>
      </c>
      <c r="B151" s="8">
        <v>45414</v>
      </c>
      <c r="C151" s="9">
        <v>0.8041666666666667</v>
      </c>
      <c r="D151" t="s">
        <v>340</v>
      </c>
      <c r="E151" t="s">
        <v>24</v>
      </c>
      <c r="F151">
        <v>70</v>
      </c>
      <c r="G151" t="s">
        <v>161</v>
      </c>
      <c r="H151" t="s">
        <v>294</v>
      </c>
      <c r="I151" t="s">
        <v>76</v>
      </c>
      <c r="K151">
        <v>28</v>
      </c>
      <c r="L151" t="s">
        <v>28</v>
      </c>
      <c r="M151" t="s">
        <v>29</v>
      </c>
    </row>
    <row r="152" spans="1:13" x14ac:dyDescent="0.45">
      <c r="A152" t="s">
        <v>341</v>
      </c>
      <c r="B152" s="8">
        <v>45414</v>
      </c>
      <c r="C152" s="9">
        <v>0.37083333333333335</v>
      </c>
      <c r="D152" t="s">
        <v>342</v>
      </c>
      <c r="E152" t="s">
        <v>24</v>
      </c>
      <c r="F152">
        <v>11</v>
      </c>
      <c r="G152" t="s">
        <v>161</v>
      </c>
      <c r="H152" t="s">
        <v>294</v>
      </c>
      <c r="I152" t="s">
        <v>76</v>
      </c>
      <c r="K152">
        <v>32</v>
      </c>
      <c r="L152" t="s">
        <v>32</v>
      </c>
      <c r="M152" t="s">
        <v>33</v>
      </c>
    </row>
    <row r="153" spans="1:13" x14ac:dyDescent="0.45">
      <c r="A153" t="s">
        <v>343</v>
      </c>
      <c r="B153" s="8">
        <v>45416</v>
      </c>
      <c r="C153" s="9">
        <v>0.50416666666666665</v>
      </c>
      <c r="D153" t="s">
        <v>344</v>
      </c>
      <c r="E153" t="s">
        <v>54</v>
      </c>
      <c r="F153">
        <v>75</v>
      </c>
      <c r="G153" t="s">
        <v>161</v>
      </c>
      <c r="H153" t="s">
        <v>294</v>
      </c>
      <c r="I153" t="s">
        <v>76</v>
      </c>
      <c r="K153">
        <v>53</v>
      </c>
      <c r="L153" t="s">
        <v>67</v>
      </c>
      <c r="M153" t="s">
        <v>33</v>
      </c>
    </row>
    <row r="154" spans="1:13" x14ac:dyDescent="0.45">
      <c r="A154" t="s">
        <v>345</v>
      </c>
      <c r="B154" s="8">
        <v>45053</v>
      </c>
      <c r="C154" s="9">
        <v>0.27986111111111112</v>
      </c>
      <c r="D154" t="s">
        <v>346</v>
      </c>
      <c r="E154" t="s">
        <v>54</v>
      </c>
      <c r="F154">
        <v>29</v>
      </c>
      <c r="G154" t="s">
        <v>110</v>
      </c>
      <c r="H154" t="s">
        <v>294</v>
      </c>
      <c r="I154" t="s">
        <v>27</v>
      </c>
      <c r="K154">
        <v>56</v>
      </c>
      <c r="L154" t="s">
        <v>58</v>
      </c>
      <c r="M154" t="s">
        <v>33</v>
      </c>
    </row>
    <row r="155" spans="1:13" x14ac:dyDescent="0.45">
      <c r="A155" t="s">
        <v>347</v>
      </c>
      <c r="B155" s="8">
        <v>45054</v>
      </c>
      <c r="C155" s="9">
        <v>0.37013888888888891</v>
      </c>
      <c r="D155" t="s">
        <v>348</v>
      </c>
      <c r="E155" t="s">
        <v>54</v>
      </c>
      <c r="F155">
        <v>70</v>
      </c>
      <c r="G155" t="s">
        <v>110</v>
      </c>
      <c r="H155" t="s">
        <v>294</v>
      </c>
      <c r="I155" t="s">
        <v>76</v>
      </c>
      <c r="K155">
        <v>48</v>
      </c>
      <c r="L155" t="s">
        <v>28</v>
      </c>
      <c r="M155" t="s">
        <v>33</v>
      </c>
    </row>
    <row r="156" spans="1:13" x14ac:dyDescent="0.45">
      <c r="A156" t="s">
        <v>349</v>
      </c>
      <c r="B156" s="8">
        <v>45055</v>
      </c>
      <c r="C156" s="9">
        <v>0.93055555555555558</v>
      </c>
      <c r="D156" t="s">
        <v>350</v>
      </c>
      <c r="E156" t="s">
        <v>54</v>
      </c>
      <c r="F156">
        <v>63</v>
      </c>
      <c r="G156" t="s">
        <v>110</v>
      </c>
      <c r="H156" t="s">
        <v>294</v>
      </c>
      <c r="I156" t="s">
        <v>27</v>
      </c>
      <c r="K156">
        <v>51</v>
      </c>
      <c r="L156" t="s">
        <v>28</v>
      </c>
      <c r="M156" t="s">
        <v>33</v>
      </c>
    </row>
    <row r="157" spans="1:13" x14ac:dyDescent="0.45">
      <c r="A157" t="s">
        <v>351</v>
      </c>
      <c r="B157" s="8">
        <v>45420</v>
      </c>
      <c r="C157" s="9">
        <v>0.44930555555555557</v>
      </c>
      <c r="D157" t="s">
        <v>352</v>
      </c>
      <c r="E157" t="s">
        <v>54</v>
      </c>
      <c r="F157">
        <v>57</v>
      </c>
      <c r="G157" t="s">
        <v>110</v>
      </c>
      <c r="H157" t="s">
        <v>294</v>
      </c>
      <c r="I157" t="s">
        <v>76</v>
      </c>
      <c r="K157">
        <v>29</v>
      </c>
      <c r="L157" t="s">
        <v>39</v>
      </c>
      <c r="M157" t="s">
        <v>29</v>
      </c>
    </row>
    <row r="158" spans="1:13" x14ac:dyDescent="0.45">
      <c r="A158" t="s">
        <v>353</v>
      </c>
      <c r="B158" s="8">
        <v>45420</v>
      </c>
      <c r="C158" s="9">
        <v>0.40138888888888891</v>
      </c>
      <c r="D158" t="s">
        <v>354</v>
      </c>
      <c r="E158" t="s">
        <v>54</v>
      </c>
      <c r="F158">
        <v>74</v>
      </c>
      <c r="G158" t="s">
        <v>110</v>
      </c>
      <c r="H158" t="s">
        <v>294</v>
      </c>
      <c r="I158" t="s">
        <v>76</v>
      </c>
      <c r="K158">
        <v>54</v>
      </c>
      <c r="L158" t="s">
        <v>67</v>
      </c>
      <c r="M158" t="s">
        <v>33</v>
      </c>
    </row>
    <row r="159" spans="1:13" x14ac:dyDescent="0.45">
      <c r="A159" t="s">
        <v>355</v>
      </c>
      <c r="B159" s="8">
        <v>45056</v>
      </c>
      <c r="C159" s="9">
        <v>0.17222222222222222</v>
      </c>
      <c r="D159" t="s">
        <v>356</v>
      </c>
      <c r="E159" t="s">
        <v>24</v>
      </c>
      <c r="F159">
        <v>13</v>
      </c>
      <c r="G159" t="s">
        <v>110</v>
      </c>
      <c r="H159" t="s">
        <v>294</v>
      </c>
      <c r="I159" t="s">
        <v>76</v>
      </c>
      <c r="K159">
        <v>42</v>
      </c>
      <c r="L159" t="s">
        <v>32</v>
      </c>
      <c r="M159" t="s">
        <v>33</v>
      </c>
    </row>
    <row r="160" spans="1:13" x14ac:dyDescent="0.45">
      <c r="A160" t="s">
        <v>357</v>
      </c>
      <c r="B160" s="8">
        <v>45420</v>
      </c>
      <c r="C160" s="9">
        <v>8.2638888888888887E-2</v>
      </c>
      <c r="D160" t="s">
        <v>358</v>
      </c>
      <c r="E160" t="s">
        <v>24</v>
      </c>
      <c r="F160">
        <v>43</v>
      </c>
      <c r="G160" t="s">
        <v>110</v>
      </c>
      <c r="H160" t="s">
        <v>294</v>
      </c>
      <c r="I160" t="s">
        <v>27</v>
      </c>
      <c r="K160">
        <v>15</v>
      </c>
      <c r="L160" t="s">
        <v>36</v>
      </c>
      <c r="M160" t="s">
        <v>29</v>
      </c>
    </row>
    <row r="161" spans="1:13" x14ac:dyDescent="0.45">
      <c r="A161" t="s">
        <v>359</v>
      </c>
      <c r="B161" s="8">
        <v>45422</v>
      </c>
      <c r="C161" s="9">
        <v>2.361111111111111E-2</v>
      </c>
      <c r="D161" t="s">
        <v>360</v>
      </c>
      <c r="E161" t="s">
        <v>24</v>
      </c>
      <c r="F161">
        <v>23</v>
      </c>
      <c r="G161" t="s">
        <v>110</v>
      </c>
      <c r="H161" t="s">
        <v>294</v>
      </c>
      <c r="I161" t="s">
        <v>27</v>
      </c>
      <c r="K161">
        <v>11</v>
      </c>
      <c r="L161" t="s">
        <v>58</v>
      </c>
      <c r="M161" t="s">
        <v>29</v>
      </c>
    </row>
    <row r="162" spans="1:13" x14ac:dyDescent="0.45">
      <c r="A162" t="s">
        <v>361</v>
      </c>
      <c r="B162" s="8">
        <v>45051</v>
      </c>
      <c r="C162" s="9">
        <v>0.4826388888888889</v>
      </c>
      <c r="D162" t="s">
        <v>362</v>
      </c>
      <c r="E162" t="s">
        <v>54</v>
      </c>
      <c r="F162">
        <v>56</v>
      </c>
      <c r="G162" t="s">
        <v>25</v>
      </c>
      <c r="H162" t="s">
        <v>294</v>
      </c>
      <c r="I162" t="s">
        <v>76</v>
      </c>
      <c r="K162">
        <v>24</v>
      </c>
      <c r="L162" t="s">
        <v>39</v>
      </c>
      <c r="M162" t="s">
        <v>29</v>
      </c>
    </row>
    <row r="163" spans="1:13" x14ac:dyDescent="0.45">
      <c r="A163" t="s">
        <v>363</v>
      </c>
      <c r="B163" s="8">
        <v>45052</v>
      </c>
      <c r="C163" s="9">
        <v>0.78125</v>
      </c>
      <c r="D163" t="s">
        <v>364</v>
      </c>
      <c r="E163" t="s">
        <v>54</v>
      </c>
      <c r="F163">
        <v>72</v>
      </c>
      <c r="G163" t="s">
        <v>25</v>
      </c>
      <c r="H163" t="s">
        <v>294</v>
      </c>
      <c r="I163" t="s">
        <v>76</v>
      </c>
      <c r="K163">
        <v>25</v>
      </c>
      <c r="L163" t="s">
        <v>67</v>
      </c>
      <c r="M163" t="s">
        <v>29</v>
      </c>
    </row>
    <row r="164" spans="1:13" x14ac:dyDescent="0.45">
      <c r="A164" t="s">
        <v>365</v>
      </c>
      <c r="B164" s="8">
        <v>45056</v>
      </c>
      <c r="C164" s="9">
        <v>0.33819444444444446</v>
      </c>
      <c r="D164" t="s">
        <v>366</v>
      </c>
      <c r="E164" t="s">
        <v>54</v>
      </c>
      <c r="F164">
        <v>73</v>
      </c>
      <c r="G164" t="s">
        <v>25</v>
      </c>
      <c r="H164" t="s">
        <v>294</v>
      </c>
      <c r="I164" t="s">
        <v>76</v>
      </c>
      <c r="K164">
        <v>12</v>
      </c>
      <c r="L164" t="s">
        <v>67</v>
      </c>
      <c r="M164" t="s">
        <v>29</v>
      </c>
    </row>
    <row r="165" spans="1:13" x14ac:dyDescent="0.45">
      <c r="A165" t="s">
        <v>367</v>
      </c>
      <c r="B165" s="8">
        <v>45413</v>
      </c>
      <c r="C165" s="9">
        <v>2.7777777777777779E-3</v>
      </c>
      <c r="D165" t="s">
        <v>368</v>
      </c>
      <c r="E165" t="s">
        <v>54</v>
      </c>
      <c r="F165">
        <v>30</v>
      </c>
      <c r="G165" t="s">
        <v>25</v>
      </c>
      <c r="H165" t="s">
        <v>294</v>
      </c>
      <c r="I165" t="s">
        <v>76</v>
      </c>
      <c r="K165">
        <v>29</v>
      </c>
      <c r="L165" t="s">
        <v>58</v>
      </c>
      <c r="M165" t="s">
        <v>29</v>
      </c>
    </row>
    <row r="166" spans="1:13" x14ac:dyDescent="0.45">
      <c r="A166" t="s">
        <v>369</v>
      </c>
      <c r="B166" s="8">
        <v>45418</v>
      </c>
      <c r="C166" s="9">
        <v>0.96319444444444446</v>
      </c>
      <c r="D166" t="s">
        <v>370</v>
      </c>
      <c r="E166" t="s">
        <v>54</v>
      </c>
      <c r="F166">
        <v>11</v>
      </c>
      <c r="G166" t="s">
        <v>25</v>
      </c>
      <c r="H166" t="s">
        <v>294</v>
      </c>
      <c r="I166" t="s">
        <v>27</v>
      </c>
      <c r="K166">
        <v>39</v>
      </c>
      <c r="L166" t="s">
        <v>32</v>
      </c>
      <c r="M166" t="s">
        <v>33</v>
      </c>
    </row>
    <row r="167" spans="1:13" x14ac:dyDescent="0.45">
      <c r="A167" t="s">
        <v>371</v>
      </c>
      <c r="B167" s="8">
        <v>45419</v>
      </c>
      <c r="C167" s="9">
        <v>5.8333333333333334E-2</v>
      </c>
      <c r="D167" t="s">
        <v>372</v>
      </c>
      <c r="E167" t="s">
        <v>54</v>
      </c>
      <c r="F167">
        <v>39</v>
      </c>
      <c r="G167" t="s">
        <v>25</v>
      </c>
      <c r="H167" t="s">
        <v>294</v>
      </c>
      <c r="I167" t="s">
        <v>76</v>
      </c>
      <c r="K167">
        <v>59</v>
      </c>
      <c r="L167" t="s">
        <v>87</v>
      </c>
      <c r="M167" t="s">
        <v>33</v>
      </c>
    </row>
    <row r="168" spans="1:13" x14ac:dyDescent="0.45">
      <c r="A168" t="s">
        <v>373</v>
      </c>
      <c r="B168" s="8">
        <v>45420</v>
      </c>
      <c r="C168" s="9">
        <v>0.78888888888888886</v>
      </c>
      <c r="D168" t="s">
        <v>374</v>
      </c>
      <c r="E168" t="s">
        <v>54</v>
      </c>
      <c r="F168">
        <v>69</v>
      </c>
      <c r="G168" t="s">
        <v>25</v>
      </c>
      <c r="H168" t="s">
        <v>294</v>
      </c>
      <c r="I168" t="s">
        <v>76</v>
      </c>
      <c r="K168">
        <v>30</v>
      </c>
      <c r="L168" t="s">
        <v>28</v>
      </c>
      <c r="M168" t="s">
        <v>33</v>
      </c>
    </row>
    <row r="169" spans="1:13" x14ac:dyDescent="0.45">
      <c r="A169" t="s">
        <v>375</v>
      </c>
      <c r="B169" s="8">
        <v>45421</v>
      </c>
      <c r="C169" s="9">
        <v>0.72152777777777777</v>
      </c>
      <c r="D169" t="s">
        <v>376</v>
      </c>
      <c r="E169" t="s">
        <v>54</v>
      </c>
      <c r="F169">
        <v>28</v>
      </c>
      <c r="G169" t="s">
        <v>25</v>
      </c>
      <c r="H169" t="s">
        <v>294</v>
      </c>
      <c r="I169" t="s">
        <v>27</v>
      </c>
      <c r="K169">
        <v>55</v>
      </c>
      <c r="L169" t="s">
        <v>58</v>
      </c>
      <c r="M169" t="s">
        <v>33</v>
      </c>
    </row>
    <row r="170" spans="1:13" x14ac:dyDescent="0.45">
      <c r="A170" t="s">
        <v>377</v>
      </c>
      <c r="B170" s="8">
        <v>45058</v>
      </c>
      <c r="C170" s="9">
        <v>0.91597222222222219</v>
      </c>
      <c r="D170" t="s">
        <v>378</v>
      </c>
      <c r="E170" t="s">
        <v>24</v>
      </c>
      <c r="F170">
        <v>53</v>
      </c>
      <c r="G170" t="s">
        <v>25</v>
      </c>
      <c r="H170" t="s">
        <v>294</v>
      </c>
      <c r="I170" t="s">
        <v>76</v>
      </c>
      <c r="K170">
        <v>15</v>
      </c>
      <c r="L170" t="s">
        <v>39</v>
      </c>
      <c r="M170" t="s">
        <v>29</v>
      </c>
    </row>
    <row r="171" spans="1:13" x14ac:dyDescent="0.45">
      <c r="A171" t="s">
        <v>379</v>
      </c>
      <c r="B171" s="8">
        <v>45416</v>
      </c>
      <c r="C171" s="9">
        <v>0.75902777777777775</v>
      </c>
      <c r="D171" t="s">
        <v>380</v>
      </c>
      <c r="E171" t="s">
        <v>24</v>
      </c>
      <c r="F171">
        <v>5</v>
      </c>
      <c r="G171" t="s">
        <v>25</v>
      </c>
      <c r="H171" t="s">
        <v>294</v>
      </c>
      <c r="I171" t="s">
        <v>76</v>
      </c>
      <c r="K171">
        <v>19</v>
      </c>
      <c r="L171" t="s">
        <v>55</v>
      </c>
      <c r="M171" t="s">
        <v>29</v>
      </c>
    </row>
    <row r="172" spans="1:13" x14ac:dyDescent="0.45">
      <c r="A172" t="s">
        <v>381</v>
      </c>
      <c r="B172" s="8">
        <v>45418</v>
      </c>
      <c r="C172" s="9">
        <v>0.93194444444444446</v>
      </c>
      <c r="D172" t="s">
        <v>382</v>
      </c>
      <c r="E172" t="s">
        <v>24</v>
      </c>
      <c r="F172">
        <v>5</v>
      </c>
      <c r="G172" t="s">
        <v>25</v>
      </c>
      <c r="H172" t="s">
        <v>294</v>
      </c>
      <c r="I172" t="s">
        <v>27</v>
      </c>
      <c r="K172">
        <v>25</v>
      </c>
      <c r="L172" t="s">
        <v>55</v>
      </c>
      <c r="M172" t="s">
        <v>29</v>
      </c>
    </row>
    <row r="173" spans="1:13" x14ac:dyDescent="0.45">
      <c r="A173" t="s">
        <v>383</v>
      </c>
      <c r="B173" s="8">
        <v>45419</v>
      </c>
      <c r="C173" s="9">
        <v>9.375E-2</v>
      </c>
      <c r="D173" t="s">
        <v>384</v>
      </c>
      <c r="E173" t="s">
        <v>24</v>
      </c>
      <c r="F173">
        <v>25</v>
      </c>
      <c r="G173" t="s">
        <v>25</v>
      </c>
      <c r="H173" t="s">
        <v>294</v>
      </c>
      <c r="I173" t="s">
        <v>76</v>
      </c>
      <c r="K173">
        <v>11</v>
      </c>
      <c r="L173" t="s">
        <v>58</v>
      </c>
      <c r="M173" t="s">
        <v>29</v>
      </c>
    </row>
    <row r="174" spans="1:13" x14ac:dyDescent="0.45">
      <c r="A174" t="s">
        <v>385</v>
      </c>
      <c r="B174" s="8">
        <v>45051</v>
      </c>
      <c r="C174" s="9">
        <v>0.75138888888888888</v>
      </c>
      <c r="D174" t="s">
        <v>386</v>
      </c>
      <c r="E174" t="s">
        <v>24</v>
      </c>
      <c r="F174">
        <v>36</v>
      </c>
      <c r="G174" t="s">
        <v>25</v>
      </c>
      <c r="H174" t="s">
        <v>387</v>
      </c>
      <c r="I174" t="s">
        <v>27</v>
      </c>
      <c r="K174">
        <v>59</v>
      </c>
      <c r="L174" t="s">
        <v>87</v>
      </c>
      <c r="M174" t="s">
        <v>33</v>
      </c>
    </row>
    <row r="175" spans="1:13" x14ac:dyDescent="0.45">
      <c r="A175" t="s">
        <v>388</v>
      </c>
      <c r="B175" s="8">
        <v>45052</v>
      </c>
      <c r="C175" s="9">
        <v>0.12291666666666666</v>
      </c>
      <c r="D175" t="s">
        <v>389</v>
      </c>
      <c r="E175" t="s">
        <v>54</v>
      </c>
      <c r="F175">
        <v>19</v>
      </c>
      <c r="G175" t="s">
        <v>25</v>
      </c>
      <c r="H175" t="s">
        <v>387</v>
      </c>
      <c r="I175" t="s">
        <v>27</v>
      </c>
      <c r="K175">
        <v>41</v>
      </c>
      <c r="L175" t="s">
        <v>32</v>
      </c>
      <c r="M175" t="s">
        <v>33</v>
      </c>
    </row>
    <row r="176" spans="1:13" x14ac:dyDescent="0.45">
      <c r="A176" t="s">
        <v>390</v>
      </c>
      <c r="B176" s="8">
        <v>45052</v>
      </c>
      <c r="C176" s="9">
        <v>0.21041666666666667</v>
      </c>
      <c r="D176" t="s">
        <v>391</v>
      </c>
      <c r="E176" t="s">
        <v>54</v>
      </c>
      <c r="F176">
        <v>9</v>
      </c>
      <c r="G176" t="s">
        <v>25</v>
      </c>
      <c r="H176" t="s">
        <v>387</v>
      </c>
      <c r="I176" t="s">
        <v>76</v>
      </c>
      <c r="K176">
        <v>49</v>
      </c>
      <c r="L176" t="s">
        <v>55</v>
      </c>
      <c r="M176" t="s">
        <v>33</v>
      </c>
    </row>
    <row r="177" spans="1:13" x14ac:dyDescent="0.45">
      <c r="A177" t="s">
        <v>392</v>
      </c>
      <c r="B177" s="8">
        <v>45054</v>
      </c>
      <c r="C177" s="9">
        <v>0.625</v>
      </c>
      <c r="D177" t="s">
        <v>393</v>
      </c>
      <c r="E177" t="s">
        <v>54</v>
      </c>
      <c r="F177">
        <v>45</v>
      </c>
      <c r="G177" t="s">
        <v>25</v>
      </c>
      <c r="H177" t="s">
        <v>387</v>
      </c>
      <c r="I177" t="s">
        <v>76</v>
      </c>
      <c r="K177">
        <v>40</v>
      </c>
      <c r="L177" t="s">
        <v>36</v>
      </c>
      <c r="M177" t="s">
        <v>33</v>
      </c>
    </row>
    <row r="178" spans="1:13" x14ac:dyDescent="0.45">
      <c r="A178" t="s">
        <v>394</v>
      </c>
      <c r="B178" s="8">
        <v>45414</v>
      </c>
      <c r="C178" s="9">
        <v>0.69861111111111107</v>
      </c>
      <c r="D178" t="s">
        <v>395</v>
      </c>
      <c r="E178" t="s">
        <v>24</v>
      </c>
      <c r="F178">
        <v>71</v>
      </c>
      <c r="G178" t="s">
        <v>25</v>
      </c>
      <c r="H178" t="s">
        <v>387</v>
      </c>
      <c r="I178" t="s">
        <v>27</v>
      </c>
      <c r="K178">
        <v>47</v>
      </c>
      <c r="L178" t="s">
        <v>67</v>
      </c>
      <c r="M178" t="s">
        <v>33</v>
      </c>
    </row>
    <row r="179" spans="1:13" x14ac:dyDescent="0.45">
      <c r="A179" t="s">
        <v>396</v>
      </c>
      <c r="B179" s="8">
        <v>45417</v>
      </c>
      <c r="C179" s="9">
        <v>0.37291666666666667</v>
      </c>
      <c r="D179" t="s">
        <v>397</v>
      </c>
      <c r="E179" t="s">
        <v>24</v>
      </c>
      <c r="F179">
        <v>77</v>
      </c>
      <c r="G179" t="s">
        <v>25</v>
      </c>
      <c r="H179" t="s">
        <v>387</v>
      </c>
      <c r="I179" t="s">
        <v>76</v>
      </c>
      <c r="K179">
        <v>26</v>
      </c>
      <c r="L179" t="s">
        <v>67</v>
      </c>
      <c r="M179" t="s">
        <v>29</v>
      </c>
    </row>
    <row r="180" spans="1:13" x14ac:dyDescent="0.45">
      <c r="A180" t="s">
        <v>398</v>
      </c>
      <c r="B180" s="8">
        <v>45422</v>
      </c>
      <c r="C180" s="9">
        <v>0.60763888888888884</v>
      </c>
      <c r="D180" t="s">
        <v>399</v>
      </c>
      <c r="E180" t="s">
        <v>54</v>
      </c>
      <c r="F180">
        <v>45</v>
      </c>
      <c r="G180" t="s">
        <v>25</v>
      </c>
      <c r="H180" t="s">
        <v>387</v>
      </c>
      <c r="I180" t="s">
        <v>27</v>
      </c>
      <c r="K180">
        <v>44</v>
      </c>
      <c r="L180" t="s">
        <v>36</v>
      </c>
      <c r="M180" t="s">
        <v>33</v>
      </c>
    </row>
    <row r="181" spans="1:13" x14ac:dyDescent="0.45">
      <c r="A181" t="s">
        <v>400</v>
      </c>
      <c r="B181" s="8">
        <v>45414</v>
      </c>
      <c r="C181" s="9">
        <v>0.78541666666666665</v>
      </c>
      <c r="D181" t="s">
        <v>401</v>
      </c>
      <c r="E181" t="s">
        <v>24</v>
      </c>
      <c r="F181">
        <v>53</v>
      </c>
      <c r="G181" t="s">
        <v>110</v>
      </c>
      <c r="H181" t="s">
        <v>387</v>
      </c>
      <c r="I181" t="s">
        <v>27</v>
      </c>
      <c r="K181">
        <v>37</v>
      </c>
      <c r="L181" t="s">
        <v>39</v>
      </c>
      <c r="M181" t="s">
        <v>33</v>
      </c>
    </row>
    <row r="182" spans="1:13" x14ac:dyDescent="0.45">
      <c r="A182" t="s">
        <v>402</v>
      </c>
      <c r="B182" s="8">
        <v>45051</v>
      </c>
      <c r="C182" s="9">
        <v>0.58263888888888893</v>
      </c>
      <c r="D182" t="s">
        <v>403</v>
      </c>
      <c r="E182" t="s">
        <v>24</v>
      </c>
      <c r="F182">
        <v>54</v>
      </c>
      <c r="G182" t="s">
        <v>161</v>
      </c>
      <c r="H182" t="s">
        <v>387</v>
      </c>
      <c r="I182" t="s">
        <v>76</v>
      </c>
      <c r="K182">
        <v>29</v>
      </c>
      <c r="L182" t="s">
        <v>39</v>
      </c>
      <c r="M182" t="s">
        <v>29</v>
      </c>
    </row>
    <row r="183" spans="1:13" x14ac:dyDescent="0.45">
      <c r="A183" t="s">
        <v>404</v>
      </c>
      <c r="B183" s="8">
        <v>45051</v>
      </c>
      <c r="C183" s="9">
        <v>0.95277777777777772</v>
      </c>
      <c r="D183" t="s">
        <v>405</v>
      </c>
      <c r="E183" t="s">
        <v>54</v>
      </c>
      <c r="F183">
        <v>14</v>
      </c>
      <c r="G183" t="s">
        <v>256</v>
      </c>
      <c r="H183" t="s">
        <v>387</v>
      </c>
      <c r="I183" t="s">
        <v>27</v>
      </c>
      <c r="K183">
        <v>60</v>
      </c>
      <c r="L183" t="s">
        <v>32</v>
      </c>
      <c r="M183" t="s">
        <v>33</v>
      </c>
    </row>
    <row r="184" spans="1:13" x14ac:dyDescent="0.45">
      <c r="A184" t="s">
        <v>406</v>
      </c>
      <c r="B184" s="8">
        <v>45054</v>
      </c>
      <c r="C184" s="9">
        <v>0.57916666666666672</v>
      </c>
      <c r="D184" t="s">
        <v>407</v>
      </c>
      <c r="E184" t="s">
        <v>54</v>
      </c>
      <c r="F184">
        <v>77</v>
      </c>
      <c r="G184" t="s">
        <v>269</v>
      </c>
      <c r="H184" t="s">
        <v>387</v>
      </c>
      <c r="I184" t="s">
        <v>27</v>
      </c>
      <c r="K184">
        <v>39</v>
      </c>
      <c r="L184" t="s">
        <v>67</v>
      </c>
      <c r="M184" t="s">
        <v>33</v>
      </c>
    </row>
    <row r="185" spans="1:13" x14ac:dyDescent="0.45">
      <c r="A185" t="s">
        <v>408</v>
      </c>
      <c r="B185" s="8">
        <v>45054</v>
      </c>
      <c r="C185" s="9">
        <v>0.84513888888888888</v>
      </c>
      <c r="D185" t="s">
        <v>409</v>
      </c>
      <c r="E185" t="s">
        <v>24</v>
      </c>
      <c r="F185">
        <v>78</v>
      </c>
      <c r="G185" t="s">
        <v>208</v>
      </c>
      <c r="H185" t="s">
        <v>387</v>
      </c>
      <c r="I185" t="s">
        <v>76</v>
      </c>
      <c r="K185">
        <v>20</v>
      </c>
      <c r="L185" t="s">
        <v>67</v>
      </c>
      <c r="M185" t="s">
        <v>29</v>
      </c>
    </row>
    <row r="186" spans="1:13" x14ac:dyDescent="0.45">
      <c r="A186" t="s">
        <v>410</v>
      </c>
      <c r="B186" s="8">
        <v>45056</v>
      </c>
      <c r="C186" s="9">
        <v>0.74097222222222225</v>
      </c>
      <c r="D186" t="s">
        <v>411</v>
      </c>
      <c r="E186" t="s">
        <v>24</v>
      </c>
      <c r="F186">
        <v>25</v>
      </c>
      <c r="G186" t="s">
        <v>161</v>
      </c>
      <c r="H186" t="s">
        <v>387</v>
      </c>
      <c r="I186" t="s">
        <v>27</v>
      </c>
      <c r="K186">
        <v>49</v>
      </c>
      <c r="L186" t="s">
        <v>58</v>
      </c>
      <c r="M186" t="s">
        <v>33</v>
      </c>
    </row>
    <row r="187" spans="1:13" x14ac:dyDescent="0.45">
      <c r="A187" t="s">
        <v>412</v>
      </c>
      <c r="B187" s="8">
        <v>45056</v>
      </c>
      <c r="C187" s="9">
        <v>0.19166666666666668</v>
      </c>
      <c r="D187" t="s">
        <v>413</v>
      </c>
      <c r="E187" t="s">
        <v>54</v>
      </c>
      <c r="F187">
        <v>56</v>
      </c>
      <c r="G187" t="s">
        <v>256</v>
      </c>
      <c r="H187" t="s">
        <v>387</v>
      </c>
      <c r="I187" t="s">
        <v>27</v>
      </c>
      <c r="K187">
        <v>20</v>
      </c>
      <c r="L187" t="s">
        <v>39</v>
      </c>
      <c r="M187" t="s">
        <v>29</v>
      </c>
    </row>
    <row r="188" spans="1:13" x14ac:dyDescent="0.45">
      <c r="A188" t="s">
        <v>414</v>
      </c>
      <c r="B188" s="8">
        <v>45413</v>
      </c>
      <c r="C188" s="9">
        <v>0.95694444444444449</v>
      </c>
      <c r="D188" t="s">
        <v>415</v>
      </c>
      <c r="E188" t="s">
        <v>24</v>
      </c>
      <c r="F188">
        <v>27</v>
      </c>
      <c r="G188" t="s">
        <v>161</v>
      </c>
      <c r="H188" t="s">
        <v>387</v>
      </c>
      <c r="I188" t="s">
        <v>27</v>
      </c>
      <c r="K188">
        <v>49</v>
      </c>
      <c r="L188" t="s">
        <v>58</v>
      </c>
      <c r="M188" t="s">
        <v>33</v>
      </c>
    </row>
    <row r="189" spans="1:13" x14ac:dyDescent="0.45">
      <c r="A189" t="s">
        <v>416</v>
      </c>
      <c r="B189" s="8">
        <v>45414</v>
      </c>
      <c r="C189" s="9">
        <v>6.9444444444444448E-2</v>
      </c>
      <c r="D189" t="s">
        <v>417</v>
      </c>
      <c r="E189" t="s">
        <v>24</v>
      </c>
      <c r="F189">
        <v>33</v>
      </c>
      <c r="G189" t="s">
        <v>161</v>
      </c>
      <c r="H189" t="s">
        <v>387</v>
      </c>
      <c r="I189" t="s">
        <v>27</v>
      </c>
      <c r="K189">
        <v>35</v>
      </c>
      <c r="L189" t="s">
        <v>87</v>
      </c>
      <c r="M189" t="s">
        <v>33</v>
      </c>
    </row>
    <row r="190" spans="1:13" x14ac:dyDescent="0.45">
      <c r="A190" t="s">
        <v>418</v>
      </c>
      <c r="B190" s="8">
        <v>45414</v>
      </c>
      <c r="C190" s="9">
        <v>0.50416666666666665</v>
      </c>
      <c r="D190" t="s">
        <v>419</v>
      </c>
      <c r="E190" t="s">
        <v>24</v>
      </c>
      <c r="F190">
        <v>48</v>
      </c>
      <c r="G190" t="s">
        <v>208</v>
      </c>
      <c r="H190" t="s">
        <v>387</v>
      </c>
      <c r="I190" t="s">
        <v>76</v>
      </c>
      <c r="K190">
        <v>42</v>
      </c>
      <c r="L190" t="s">
        <v>36</v>
      </c>
      <c r="M190" t="s">
        <v>33</v>
      </c>
    </row>
    <row r="191" spans="1:13" x14ac:dyDescent="0.45">
      <c r="A191" t="s">
        <v>420</v>
      </c>
      <c r="B191" s="8">
        <v>45051</v>
      </c>
      <c r="C191" s="9">
        <v>0.90277777777777779</v>
      </c>
      <c r="D191" t="s">
        <v>421</v>
      </c>
      <c r="E191" t="s">
        <v>24</v>
      </c>
      <c r="F191">
        <v>26</v>
      </c>
      <c r="G191" t="s">
        <v>110</v>
      </c>
      <c r="H191" t="s">
        <v>422</v>
      </c>
      <c r="I191" t="s">
        <v>27</v>
      </c>
      <c r="K191">
        <v>48</v>
      </c>
      <c r="L191" t="s">
        <v>58</v>
      </c>
      <c r="M191" t="s">
        <v>33</v>
      </c>
    </row>
    <row r="192" spans="1:13" x14ac:dyDescent="0.45">
      <c r="A192" t="s">
        <v>423</v>
      </c>
      <c r="B192" s="8">
        <v>45054</v>
      </c>
      <c r="C192" s="9">
        <v>0.9770833333333333</v>
      </c>
      <c r="D192" t="s">
        <v>424</v>
      </c>
      <c r="E192" t="s">
        <v>24</v>
      </c>
      <c r="F192">
        <v>52</v>
      </c>
      <c r="G192" t="s">
        <v>110</v>
      </c>
      <c r="H192" t="s">
        <v>422</v>
      </c>
      <c r="I192" t="s">
        <v>27</v>
      </c>
      <c r="K192">
        <v>14</v>
      </c>
      <c r="L192" t="s">
        <v>39</v>
      </c>
      <c r="M192" t="s">
        <v>29</v>
      </c>
    </row>
    <row r="193" spans="1:13" x14ac:dyDescent="0.45">
      <c r="A193" t="s">
        <v>425</v>
      </c>
      <c r="B193" s="8">
        <v>45057</v>
      </c>
      <c r="C193" s="9">
        <v>2.9861111111111113E-2</v>
      </c>
      <c r="D193" t="s">
        <v>426</v>
      </c>
      <c r="E193" t="s">
        <v>24</v>
      </c>
      <c r="F193">
        <v>60</v>
      </c>
      <c r="G193" t="s">
        <v>25</v>
      </c>
      <c r="H193" t="s">
        <v>422</v>
      </c>
      <c r="I193" t="s">
        <v>76</v>
      </c>
      <c r="K193">
        <v>14</v>
      </c>
      <c r="L193" t="s">
        <v>39</v>
      </c>
      <c r="M193" t="s">
        <v>29</v>
      </c>
    </row>
    <row r="194" spans="1:13" x14ac:dyDescent="0.45">
      <c r="A194" t="s">
        <v>427</v>
      </c>
      <c r="B194" s="8">
        <v>45417</v>
      </c>
      <c r="C194" s="9">
        <v>0.87152777777777779</v>
      </c>
      <c r="D194" t="s">
        <v>428</v>
      </c>
      <c r="E194" t="s">
        <v>24</v>
      </c>
      <c r="F194">
        <v>30</v>
      </c>
      <c r="G194" t="s">
        <v>25</v>
      </c>
      <c r="H194" t="s">
        <v>422</v>
      </c>
      <c r="I194" t="s">
        <v>76</v>
      </c>
      <c r="K194">
        <v>27</v>
      </c>
      <c r="L194" t="s">
        <v>58</v>
      </c>
      <c r="M194" t="s">
        <v>29</v>
      </c>
    </row>
    <row r="195" spans="1:13" x14ac:dyDescent="0.45">
      <c r="A195" t="s">
        <v>429</v>
      </c>
      <c r="B195" s="8">
        <v>45419</v>
      </c>
      <c r="C195" s="9">
        <v>6.805555555555555E-2</v>
      </c>
      <c r="D195" t="s">
        <v>430</v>
      </c>
      <c r="E195" t="s">
        <v>24</v>
      </c>
      <c r="F195">
        <v>13</v>
      </c>
      <c r="G195" t="s">
        <v>233</v>
      </c>
      <c r="H195" t="s">
        <v>422</v>
      </c>
      <c r="I195" t="s">
        <v>27</v>
      </c>
      <c r="K195">
        <v>14</v>
      </c>
      <c r="L195" t="s">
        <v>32</v>
      </c>
      <c r="M195" t="s">
        <v>29</v>
      </c>
    </row>
    <row r="196" spans="1:13" x14ac:dyDescent="0.45">
      <c r="A196" t="s">
        <v>431</v>
      </c>
      <c r="B196" s="8">
        <v>45422</v>
      </c>
      <c r="C196" s="9">
        <v>0.80208333333333337</v>
      </c>
      <c r="D196" t="s">
        <v>432</v>
      </c>
      <c r="E196" t="s">
        <v>54</v>
      </c>
      <c r="F196">
        <v>7</v>
      </c>
      <c r="G196" t="s">
        <v>233</v>
      </c>
      <c r="H196" t="s">
        <v>422</v>
      </c>
      <c r="I196" t="s">
        <v>76</v>
      </c>
      <c r="K196">
        <v>37</v>
      </c>
      <c r="L196" t="s">
        <v>55</v>
      </c>
      <c r="M196" t="s">
        <v>33</v>
      </c>
    </row>
    <row r="197" spans="1:13" x14ac:dyDescent="0.45">
      <c r="A197" t="s">
        <v>433</v>
      </c>
      <c r="B197" s="8">
        <v>45052</v>
      </c>
      <c r="C197" s="9">
        <v>0.55486111111111114</v>
      </c>
      <c r="D197" t="s">
        <v>434</v>
      </c>
      <c r="E197" t="s">
        <v>54</v>
      </c>
      <c r="F197">
        <v>12</v>
      </c>
      <c r="G197" t="s">
        <v>110</v>
      </c>
      <c r="H197" t="s">
        <v>435</v>
      </c>
      <c r="I197" t="s">
        <v>27</v>
      </c>
      <c r="K197">
        <v>44</v>
      </c>
      <c r="L197" t="s">
        <v>32</v>
      </c>
      <c r="M197" t="s">
        <v>33</v>
      </c>
    </row>
    <row r="198" spans="1:13" x14ac:dyDescent="0.45">
      <c r="A198" t="s">
        <v>436</v>
      </c>
      <c r="B198" s="8">
        <v>45054</v>
      </c>
      <c r="C198" s="9">
        <v>0.19166666666666668</v>
      </c>
      <c r="D198" t="s">
        <v>437</v>
      </c>
      <c r="E198" t="s">
        <v>24</v>
      </c>
      <c r="F198">
        <v>70</v>
      </c>
      <c r="G198" t="s">
        <v>110</v>
      </c>
      <c r="H198" t="s">
        <v>435</v>
      </c>
      <c r="I198" t="s">
        <v>76</v>
      </c>
      <c r="K198">
        <v>55</v>
      </c>
      <c r="L198" t="s">
        <v>28</v>
      </c>
      <c r="M198" t="s">
        <v>33</v>
      </c>
    </row>
    <row r="199" spans="1:13" x14ac:dyDescent="0.45">
      <c r="A199" t="s">
        <v>438</v>
      </c>
      <c r="B199" s="8">
        <v>45056</v>
      </c>
      <c r="C199" s="9">
        <v>0.28888888888888886</v>
      </c>
      <c r="D199" t="s">
        <v>439</v>
      </c>
      <c r="E199" t="s">
        <v>24</v>
      </c>
      <c r="F199">
        <v>18</v>
      </c>
      <c r="G199" t="s">
        <v>208</v>
      </c>
      <c r="H199" t="s">
        <v>435</v>
      </c>
      <c r="I199" t="s">
        <v>27</v>
      </c>
      <c r="K199">
        <v>11</v>
      </c>
      <c r="L199" t="s">
        <v>32</v>
      </c>
      <c r="M199" t="s">
        <v>29</v>
      </c>
    </row>
    <row r="200" spans="1:13" x14ac:dyDescent="0.45">
      <c r="A200" t="s">
        <v>440</v>
      </c>
      <c r="B200" s="8">
        <v>45421</v>
      </c>
      <c r="C200" s="9">
        <v>0.28402777777777777</v>
      </c>
      <c r="D200" t="s">
        <v>441</v>
      </c>
      <c r="E200" t="s">
        <v>24</v>
      </c>
      <c r="F200">
        <v>46</v>
      </c>
      <c r="G200" t="s">
        <v>110</v>
      </c>
      <c r="H200" t="s">
        <v>435</v>
      </c>
      <c r="I200" t="s">
        <v>27</v>
      </c>
      <c r="K200">
        <v>51</v>
      </c>
      <c r="L200" t="s">
        <v>36</v>
      </c>
      <c r="M200" t="s">
        <v>33</v>
      </c>
    </row>
    <row r="201" spans="1:13" x14ac:dyDescent="0.45">
      <c r="A201" t="s">
        <v>442</v>
      </c>
      <c r="B201" s="8">
        <v>45050</v>
      </c>
      <c r="C201" s="9">
        <v>0.23819444444444443</v>
      </c>
      <c r="D201" t="s">
        <v>443</v>
      </c>
      <c r="E201" t="s">
        <v>54</v>
      </c>
      <c r="F201">
        <v>23</v>
      </c>
      <c r="G201" t="s">
        <v>25</v>
      </c>
      <c r="H201" t="s">
        <v>444</v>
      </c>
      <c r="I201" t="s">
        <v>76</v>
      </c>
      <c r="K201">
        <v>34</v>
      </c>
      <c r="L201" t="s">
        <v>58</v>
      </c>
      <c r="M201" t="s">
        <v>33</v>
      </c>
    </row>
    <row r="202" spans="1:13" x14ac:dyDescent="0.45">
      <c r="A202" t="s">
        <v>445</v>
      </c>
      <c r="B202" s="8">
        <v>45051</v>
      </c>
      <c r="C202" s="9">
        <v>7.5694444444444439E-2</v>
      </c>
      <c r="D202" t="s">
        <v>446</v>
      </c>
      <c r="E202" t="s">
        <v>24</v>
      </c>
      <c r="F202">
        <v>27</v>
      </c>
      <c r="G202" t="s">
        <v>256</v>
      </c>
      <c r="H202" t="s">
        <v>447</v>
      </c>
      <c r="I202" t="s">
        <v>76</v>
      </c>
      <c r="K202">
        <v>24</v>
      </c>
      <c r="L202" t="s">
        <v>58</v>
      </c>
      <c r="M202" t="s">
        <v>29</v>
      </c>
    </row>
    <row r="203" spans="1:13" x14ac:dyDescent="0.45">
      <c r="A203" t="s">
        <v>448</v>
      </c>
      <c r="B203" s="8">
        <v>45051</v>
      </c>
      <c r="C203" s="9">
        <v>0.54027777777777775</v>
      </c>
      <c r="D203" t="s">
        <v>449</v>
      </c>
      <c r="E203" t="s">
        <v>54</v>
      </c>
      <c r="F203">
        <v>38</v>
      </c>
      <c r="G203" t="s">
        <v>25</v>
      </c>
      <c r="H203" t="s">
        <v>447</v>
      </c>
      <c r="I203" t="s">
        <v>76</v>
      </c>
      <c r="K203">
        <v>52</v>
      </c>
      <c r="L203" t="s">
        <v>87</v>
      </c>
      <c r="M203" t="s">
        <v>33</v>
      </c>
    </row>
    <row r="204" spans="1:13" x14ac:dyDescent="0.45">
      <c r="A204" t="s">
        <v>450</v>
      </c>
      <c r="B204" s="8">
        <v>45051</v>
      </c>
      <c r="C204" s="9">
        <v>0.37847222222222221</v>
      </c>
      <c r="D204" t="s">
        <v>451</v>
      </c>
      <c r="E204" t="s">
        <v>54</v>
      </c>
      <c r="F204">
        <v>3</v>
      </c>
      <c r="G204" t="s">
        <v>110</v>
      </c>
      <c r="H204" t="s">
        <v>444</v>
      </c>
      <c r="I204" t="s">
        <v>27</v>
      </c>
      <c r="K204">
        <v>43</v>
      </c>
      <c r="L204" t="s">
        <v>55</v>
      </c>
      <c r="M204" t="s">
        <v>33</v>
      </c>
    </row>
    <row r="205" spans="1:13" x14ac:dyDescent="0.45">
      <c r="A205" t="s">
        <v>452</v>
      </c>
      <c r="B205" s="8">
        <v>45052</v>
      </c>
      <c r="C205" s="9">
        <v>3.5416666666666666E-2</v>
      </c>
      <c r="D205" t="s">
        <v>453</v>
      </c>
      <c r="E205" t="s">
        <v>54</v>
      </c>
      <c r="F205">
        <v>48</v>
      </c>
      <c r="G205" t="s">
        <v>256</v>
      </c>
      <c r="H205" t="s">
        <v>444</v>
      </c>
      <c r="I205" t="s">
        <v>27</v>
      </c>
      <c r="K205">
        <v>41</v>
      </c>
      <c r="L205" t="s">
        <v>36</v>
      </c>
      <c r="M205" t="s">
        <v>33</v>
      </c>
    </row>
    <row r="206" spans="1:13" x14ac:dyDescent="0.45">
      <c r="A206" t="s">
        <v>454</v>
      </c>
      <c r="B206" s="8">
        <v>45054</v>
      </c>
      <c r="C206" s="9">
        <v>0.66874999999999996</v>
      </c>
      <c r="D206" t="s">
        <v>455</v>
      </c>
      <c r="E206" t="s">
        <v>54</v>
      </c>
      <c r="F206">
        <v>5</v>
      </c>
      <c r="G206" t="s">
        <v>110</v>
      </c>
      <c r="H206" t="s">
        <v>444</v>
      </c>
      <c r="I206" t="s">
        <v>27</v>
      </c>
      <c r="K206">
        <v>34</v>
      </c>
      <c r="L206" t="s">
        <v>55</v>
      </c>
      <c r="M206" t="s">
        <v>33</v>
      </c>
    </row>
    <row r="207" spans="1:13" x14ac:dyDescent="0.45">
      <c r="A207" t="s">
        <v>456</v>
      </c>
      <c r="B207" s="8">
        <v>45054</v>
      </c>
      <c r="C207" s="9">
        <v>0.54027777777777775</v>
      </c>
      <c r="D207" t="s">
        <v>457</v>
      </c>
      <c r="E207" t="s">
        <v>24</v>
      </c>
      <c r="F207">
        <v>77</v>
      </c>
      <c r="G207" t="s">
        <v>256</v>
      </c>
      <c r="H207" t="s">
        <v>444</v>
      </c>
      <c r="I207" t="s">
        <v>27</v>
      </c>
      <c r="K207">
        <v>36</v>
      </c>
      <c r="L207" t="s">
        <v>67</v>
      </c>
      <c r="M207" t="s">
        <v>33</v>
      </c>
    </row>
    <row r="208" spans="1:13" x14ac:dyDescent="0.45">
      <c r="A208" t="s">
        <v>458</v>
      </c>
      <c r="B208" s="8">
        <v>45055</v>
      </c>
      <c r="C208" s="9">
        <v>0.6166666666666667</v>
      </c>
      <c r="D208" t="s">
        <v>459</v>
      </c>
      <c r="E208" t="s">
        <v>54</v>
      </c>
      <c r="F208">
        <v>48</v>
      </c>
      <c r="G208" t="s">
        <v>161</v>
      </c>
      <c r="H208" t="s">
        <v>444</v>
      </c>
      <c r="I208" t="s">
        <v>76</v>
      </c>
      <c r="K208">
        <v>44</v>
      </c>
      <c r="L208" t="s">
        <v>36</v>
      </c>
      <c r="M208" t="s">
        <v>33</v>
      </c>
    </row>
    <row r="209" spans="1:13" x14ac:dyDescent="0.45">
      <c r="A209" t="s">
        <v>460</v>
      </c>
      <c r="B209" s="8">
        <v>45055</v>
      </c>
      <c r="C209" s="9">
        <v>0.30069444444444443</v>
      </c>
      <c r="D209" t="s">
        <v>461</v>
      </c>
      <c r="E209" t="s">
        <v>24</v>
      </c>
      <c r="F209">
        <v>33</v>
      </c>
      <c r="G209" t="s">
        <v>110</v>
      </c>
      <c r="H209" t="s">
        <v>462</v>
      </c>
      <c r="I209" t="s">
        <v>27</v>
      </c>
      <c r="K209">
        <v>21</v>
      </c>
      <c r="L209" t="s">
        <v>87</v>
      </c>
      <c r="M209" t="s">
        <v>29</v>
      </c>
    </row>
    <row r="210" spans="1:13" x14ac:dyDescent="0.45">
      <c r="A210" t="s">
        <v>463</v>
      </c>
      <c r="B210" s="8">
        <v>45056</v>
      </c>
      <c r="C210" s="9">
        <v>0.29097222222222224</v>
      </c>
      <c r="D210" t="s">
        <v>464</v>
      </c>
      <c r="E210" t="s">
        <v>54</v>
      </c>
      <c r="F210">
        <v>26</v>
      </c>
      <c r="G210" t="s">
        <v>161</v>
      </c>
      <c r="H210" t="s">
        <v>444</v>
      </c>
      <c r="I210" t="s">
        <v>27</v>
      </c>
      <c r="K210">
        <v>29</v>
      </c>
      <c r="L210" t="s">
        <v>58</v>
      </c>
      <c r="M210" t="s">
        <v>29</v>
      </c>
    </row>
    <row r="211" spans="1:13" x14ac:dyDescent="0.45">
      <c r="A211" t="s">
        <v>465</v>
      </c>
      <c r="B211" s="8">
        <v>45413</v>
      </c>
      <c r="C211" s="9">
        <v>0.76944444444444449</v>
      </c>
      <c r="D211" t="s">
        <v>466</v>
      </c>
      <c r="E211" t="s">
        <v>54</v>
      </c>
      <c r="F211">
        <v>24</v>
      </c>
      <c r="G211" t="s">
        <v>269</v>
      </c>
      <c r="H211" t="s">
        <v>444</v>
      </c>
      <c r="I211" t="s">
        <v>76</v>
      </c>
      <c r="K211">
        <v>27</v>
      </c>
      <c r="L211" t="s">
        <v>58</v>
      </c>
      <c r="M211" t="s">
        <v>29</v>
      </c>
    </row>
    <row r="212" spans="1:13" x14ac:dyDescent="0.45">
      <c r="A212" t="s">
        <v>467</v>
      </c>
      <c r="B212" s="8">
        <v>45416</v>
      </c>
      <c r="C212" s="9">
        <v>0.42430555555555555</v>
      </c>
      <c r="D212" t="s">
        <v>468</v>
      </c>
      <c r="E212" t="s">
        <v>54</v>
      </c>
      <c r="F212">
        <v>79</v>
      </c>
      <c r="G212" t="s">
        <v>25</v>
      </c>
      <c r="H212" t="s">
        <v>447</v>
      </c>
      <c r="I212" t="s">
        <v>76</v>
      </c>
      <c r="K212">
        <v>23</v>
      </c>
      <c r="L212" t="s">
        <v>67</v>
      </c>
      <c r="M212" t="s">
        <v>29</v>
      </c>
    </row>
    <row r="213" spans="1:13" x14ac:dyDescent="0.45">
      <c r="A213" t="s">
        <v>469</v>
      </c>
      <c r="B213" s="8">
        <v>45420</v>
      </c>
      <c r="C213" s="9">
        <v>0.76111111111111107</v>
      </c>
      <c r="D213" t="s">
        <v>470</v>
      </c>
      <c r="E213" t="s">
        <v>24</v>
      </c>
      <c r="F213">
        <v>5</v>
      </c>
      <c r="G213" t="s">
        <v>25</v>
      </c>
      <c r="H213" t="s">
        <v>462</v>
      </c>
      <c r="I213" t="s">
        <v>76</v>
      </c>
      <c r="K213">
        <v>19</v>
      </c>
      <c r="L213" t="s">
        <v>55</v>
      </c>
      <c r="M213" t="s">
        <v>29</v>
      </c>
    </row>
    <row r="214" spans="1:13" x14ac:dyDescent="0.45">
      <c r="A214" t="s">
        <v>471</v>
      </c>
      <c r="B214" s="8">
        <v>45421</v>
      </c>
      <c r="C214" s="9">
        <v>0.52708333333333335</v>
      </c>
      <c r="D214" t="s">
        <v>472</v>
      </c>
      <c r="E214" t="s">
        <v>54</v>
      </c>
      <c r="F214">
        <v>42</v>
      </c>
      <c r="G214" t="s">
        <v>233</v>
      </c>
      <c r="H214" t="s">
        <v>447</v>
      </c>
      <c r="I214" t="s">
        <v>27</v>
      </c>
      <c r="K214">
        <v>60</v>
      </c>
      <c r="L214" t="s">
        <v>36</v>
      </c>
      <c r="M214" t="s">
        <v>33</v>
      </c>
    </row>
    <row r="215" spans="1:13" x14ac:dyDescent="0.45">
      <c r="A215" t="s">
        <v>473</v>
      </c>
      <c r="B215" s="8">
        <v>45054</v>
      </c>
      <c r="C215" s="9">
        <v>0.24444444444444444</v>
      </c>
      <c r="D215" t="s">
        <v>474</v>
      </c>
      <c r="E215" t="s">
        <v>54</v>
      </c>
      <c r="F215">
        <v>5</v>
      </c>
      <c r="G215" t="s">
        <v>208</v>
      </c>
      <c r="H215" t="s">
        <v>422</v>
      </c>
      <c r="I215" t="s">
        <v>27</v>
      </c>
      <c r="J215">
        <v>6</v>
      </c>
      <c r="K215">
        <v>23</v>
      </c>
      <c r="L215" t="s">
        <v>55</v>
      </c>
      <c r="M215" t="s">
        <v>29</v>
      </c>
    </row>
    <row r="216" spans="1:13" x14ac:dyDescent="0.45">
      <c r="A216" t="s">
        <v>475</v>
      </c>
      <c r="B216" s="8">
        <v>45056</v>
      </c>
      <c r="C216" s="9">
        <v>0.30972222222222223</v>
      </c>
      <c r="D216" t="s">
        <v>476</v>
      </c>
      <c r="E216" t="s">
        <v>54</v>
      </c>
      <c r="F216">
        <v>25</v>
      </c>
      <c r="G216" t="s">
        <v>25</v>
      </c>
      <c r="H216" t="s">
        <v>435</v>
      </c>
      <c r="I216" t="s">
        <v>76</v>
      </c>
      <c r="J216">
        <v>6</v>
      </c>
      <c r="K216">
        <v>38</v>
      </c>
      <c r="L216" t="s">
        <v>58</v>
      </c>
      <c r="M216" t="s">
        <v>33</v>
      </c>
    </row>
    <row r="217" spans="1:13" x14ac:dyDescent="0.45">
      <c r="A217" t="s">
        <v>477</v>
      </c>
      <c r="B217" s="8">
        <v>45058</v>
      </c>
      <c r="C217" s="9">
        <v>0.67569444444444449</v>
      </c>
      <c r="D217" t="s">
        <v>478</v>
      </c>
      <c r="E217" t="s">
        <v>24</v>
      </c>
      <c r="F217">
        <v>63</v>
      </c>
      <c r="G217" t="s">
        <v>233</v>
      </c>
      <c r="H217" t="s">
        <v>447</v>
      </c>
      <c r="I217" t="s">
        <v>27</v>
      </c>
      <c r="J217">
        <v>1</v>
      </c>
      <c r="K217">
        <v>57</v>
      </c>
      <c r="L217" t="s">
        <v>28</v>
      </c>
      <c r="M217" t="s">
        <v>33</v>
      </c>
    </row>
    <row r="218" spans="1:13" x14ac:dyDescent="0.45">
      <c r="A218" t="s">
        <v>479</v>
      </c>
      <c r="B218" s="8">
        <v>45413</v>
      </c>
      <c r="C218" s="9">
        <v>0.96388888888888891</v>
      </c>
      <c r="D218" t="s">
        <v>480</v>
      </c>
      <c r="E218" t="s">
        <v>24</v>
      </c>
      <c r="F218">
        <v>57</v>
      </c>
      <c r="G218" t="s">
        <v>25</v>
      </c>
      <c r="H218" t="s">
        <v>435</v>
      </c>
      <c r="I218" t="s">
        <v>27</v>
      </c>
      <c r="J218">
        <v>7</v>
      </c>
      <c r="K218">
        <v>17</v>
      </c>
      <c r="L218" t="s">
        <v>39</v>
      </c>
      <c r="M218" t="s">
        <v>29</v>
      </c>
    </row>
    <row r="219" spans="1:13" x14ac:dyDescent="0.45">
      <c r="A219" t="s">
        <v>481</v>
      </c>
      <c r="B219" s="8">
        <v>45414</v>
      </c>
      <c r="C219" s="9">
        <v>0.3</v>
      </c>
      <c r="D219" t="s">
        <v>482</v>
      </c>
      <c r="E219" t="s">
        <v>24</v>
      </c>
      <c r="F219">
        <v>12</v>
      </c>
      <c r="G219" t="s">
        <v>110</v>
      </c>
      <c r="H219" t="s">
        <v>422</v>
      </c>
      <c r="I219" t="s">
        <v>27</v>
      </c>
      <c r="J219">
        <v>0</v>
      </c>
      <c r="K219">
        <v>45</v>
      </c>
      <c r="L219" t="s">
        <v>32</v>
      </c>
      <c r="M219" t="s">
        <v>33</v>
      </c>
    </row>
    <row r="220" spans="1:13" x14ac:dyDescent="0.45">
      <c r="A220" t="s">
        <v>483</v>
      </c>
      <c r="B220" s="8">
        <v>45414</v>
      </c>
      <c r="C220" s="9">
        <v>0.7319444444444444</v>
      </c>
      <c r="D220" t="s">
        <v>484</v>
      </c>
      <c r="E220" t="s">
        <v>54</v>
      </c>
      <c r="F220">
        <v>38</v>
      </c>
      <c r="G220" t="s">
        <v>110</v>
      </c>
      <c r="H220" t="s">
        <v>447</v>
      </c>
      <c r="I220" t="s">
        <v>27</v>
      </c>
      <c r="J220">
        <v>2</v>
      </c>
      <c r="K220">
        <v>38</v>
      </c>
      <c r="L220" t="s">
        <v>87</v>
      </c>
      <c r="M220" t="s">
        <v>33</v>
      </c>
    </row>
    <row r="221" spans="1:13" x14ac:dyDescent="0.45">
      <c r="A221" t="s">
        <v>485</v>
      </c>
      <c r="B221" s="8">
        <v>45414</v>
      </c>
      <c r="C221" s="9">
        <v>0.32013888888888886</v>
      </c>
      <c r="D221" t="s">
        <v>486</v>
      </c>
      <c r="E221" t="s">
        <v>54</v>
      </c>
      <c r="F221">
        <v>32</v>
      </c>
      <c r="G221" t="s">
        <v>233</v>
      </c>
      <c r="H221" t="s">
        <v>435</v>
      </c>
      <c r="I221" t="s">
        <v>76</v>
      </c>
      <c r="J221">
        <v>1</v>
      </c>
      <c r="K221">
        <v>11</v>
      </c>
      <c r="L221" t="s">
        <v>87</v>
      </c>
      <c r="M221" t="s">
        <v>29</v>
      </c>
    </row>
    <row r="222" spans="1:13" x14ac:dyDescent="0.45">
      <c r="A222" t="s">
        <v>487</v>
      </c>
      <c r="B222" s="8">
        <v>45414</v>
      </c>
      <c r="C222" s="9">
        <v>0.43333333333333335</v>
      </c>
      <c r="D222" t="s">
        <v>488</v>
      </c>
      <c r="E222" t="s">
        <v>54</v>
      </c>
      <c r="F222">
        <v>9</v>
      </c>
      <c r="G222" t="s">
        <v>208</v>
      </c>
      <c r="H222" t="s">
        <v>435</v>
      </c>
      <c r="I222" t="s">
        <v>76</v>
      </c>
      <c r="J222">
        <v>3</v>
      </c>
      <c r="K222">
        <v>49</v>
      </c>
      <c r="L222" t="s">
        <v>55</v>
      </c>
      <c r="M222" t="s">
        <v>33</v>
      </c>
    </row>
    <row r="223" spans="1:13" x14ac:dyDescent="0.45">
      <c r="A223" t="s">
        <v>489</v>
      </c>
      <c r="B223" s="8">
        <v>45415</v>
      </c>
      <c r="C223" s="9">
        <v>0.39930555555555558</v>
      </c>
      <c r="D223" t="s">
        <v>490</v>
      </c>
      <c r="E223" t="s">
        <v>24</v>
      </c>
      <c r="F223">
        <v>9</v>
      </c>
      <c r="G223" t="s">
        <v>256</v>
      </c>
      <c r="H223" t="s">
        <v>447</v>
      </c>
      <c r="I223" t="s">
        <v>27</v>
      </c>
      <c r="J223">
        <v>6</v>
      </c>
      <c r="K223">
        <v>40</v>
      </c>
      <c r="L223" t="s">
        <v>55</v>
      </c>
      <c r="M223" t="s">
        <v>33</v>
      </c>
    </row>
    <row r="224" spans="1:13" x14ac:dyDescent="0.45">
      <c r="A224" t="s">
        <v>491</v>
      </c>
      <c r="B224" s="8">
        <v>45418</v>
      </c>
      <c r="C224" s="9">
        <v>0.44374999999999998</v>
      </c>
      <c r="D224" t="s">
        <v>492</v>
      </c>
      <c r="E224" t="s">
        <v>54</v>
      </c>
      <c r="F224">
        <v>3</v>
      </c>
      <c r="G224" t="s">
        <v>110</v>
      </c>
      <c r="H224" t="s">
        <v>444</v>
      </c>
      <c r="I224" t="s">
        <v>27</v>
      </c>
      <c r="J224">
        <v>7</v>
      </c>
      <c r="K224">
        <v>31</v>
      </c>
      <c r="L224" t="s">
        <v>55</v>
      </c>
      <c r="M224" t="s">
        <v>33</v>
      </c>
    </row>
    <row r="225" spans="1:13" x14ac:dyDescent="0.45">
      <c r="A225" t="s">
        <v>493</v>
      </c>
      <c r="B225" s="8">
        <v>45420</v>
      </c>
      <c r="C225" s="9">
        <v>6.458333333333334E-2</v>
      </c>
      <c r="D225" t="s">
        <v>494</v>
      </c>
      <c r="E225" t="s">
        <v>54</v>
      </c>
      <c r="F225">
        <v>74</v>
      </c>
      <c r="G225" t="s">
        <v>25</v>
      </c>
      <c r="H225" t="s">
        <v>422</v>
      </c>
      <c r="I225" t="s">
        <v>76</v>
      </c>
      <c r="J225">
        <v>0</v>
      </c>
      <c r="K225">
        <v>20</v>
      </c>
      <c r="L225" t="s">
        <v>67</v>
      </c>
      <c r="M225" t="s">
        <v>29</v>
      </c>
    </row>
    <row r="226" spans="1:13" x14ac:dyDescent="0.45">
      <c r="A226" t="s">
        <v>495</v>
      </c>
      <c r="B226" s="8">
        <v>45421</v>
      </c>
      <c r="C226" s="9">
        <v>0.89513888888888893</v>
      </c>
      <c r="D226" t="s">
        <v>496</v>
      </c>
      <c r="E226" t="s">
        <v>54</v>
      </c>
      <c r="F226">
        <v>17</v>
      </c>
      <c r="G226" t="s">
        <v>25</v>
      </c>
      <c r="H226" t="s">
        <v>435</v>
      </c>
      <c r="I226" t="s">
        <v>76</v>
      </c>
      <c r="J226">
        <v>7</v>
      </c>
      <c r="K226">
        <v>60</v>
      </c>
      <c r="L226" t="s">
        <v>32</v>
      </c>
      <c r="M226" t="s">
        <v>33</v>
      </c>
    </row>
    <row r="227" spans="1:13" x14ac:dyDescent="0.45">
      <c r="A227" t="s">
        <v>497</v>
      </c>
      <c r="B227" s="8">
        <v>45422</v>
      </c>
      <c r="C227" s="9">
        <v>0.78333333333333333</v>
      </c>
      <c r="D227" t="s">
        <v>498</v>
      </c>
      <c r="E227" t="s">
        <v>54</v>
      </c>
      <c r="F227">
        <v>65</v>
      </c>
      <c r="G227" t="s">
        <v>208</v>
      </c>
      <c r="H227" t="s">
        <v>422</v>
      </c>
      <c r="I227" t="s">
        <v>27</v>
      </c>
      <c r="J227">
        <v>0</v>
      </c>
      <c r="K227">
        <v>11</v>
      </c>
      <c r="L227" t="s">
        <v>28</v>
      </c>
      <c r="M227" t="s">
        <v>29</v>
      </c>
    </row>
    <row r="228" spans="1:13" x14ac:dyDescent="0.45">
      <c r="A228" t="s">
        <v>499</v>
      </c>
      <c r="B228" s="8">
        <v>45050</v>
      </c>
      <c r="C228" s="9">
        <v>0.69930555555555551</v>
      </c>
      <c r="D228" t="s">
        <v>500</v>
      </c>
      <c r="E228" t="s">
        <v>24</v>
      </c>
      <c r="F228">
        <v>5</v>
      </c>
      <c r="G228" t="s">
        <v>25</v>
      </c>
      <c r="H228" t="s">
        <v>387</v>
      </c>
      <c r="I228" t="s">
        <v>27</v>
      </c>
      <c r="J228">
        <v>7</v>
      </c>
      <c r="K228">
        <v>56</v>
      </c>
      <c r="L228" t="s">
        <v>55</v>
      </c>
      <c r="M228" t="s">
        <v>33</v>
      </c>
    </row>
    <row r="229" spans="1:13" x14ac:dyDescent="0.45">
      <c r="A229" t="s">
        <v>501</v>
      </c>
      <c r="B229" s="8">
        <v>45050</v>
      </c>
      <c r="C229" s="9">
        <v>0.77152777777777781</v>
      </c>
      <c r="D229" t="s">
        <v>502</v>
      </c>
      <c r="E229" t="s">
        <v>54</v>
      </c>
      <c r="F229">
        <v>61</v>
      </c>
      <c r="G229" t="s">
        <v>25</v>
      </c>
      <c r="H229" t="s">
        <v>387</v>
      </c>
      <c r="I229" t="s">
        <v>76</v>
      </c>
      <c r="J229">
        <v>9</v>
      </c>
      <c r="K229">
        <v>18</v>
      </c>
      <c r="L229" t="s">
        <v>28</v>
      </c>
      <c r="M229" t="s">
        <v>29</v>
      </c>
    </row>
    <row r="230" spans="1:13" x14ac:dyDescent="0.45">
      <c r="A230" t="s">
        <v>503</v>
      </c>
      <c r="B230" s="8">
        <v>45052</v>
      </c>
      <c r="C230" s="9">
        <v>0.53055555555555556</v>
      </c>
      <c r="D230" t="s">
        <v>504</v>
      </c>
      <c r="E230" t="s">
        <v>54</v>
      </c>
      <c r="F230">
        <v>73</v>
      </c>
      <c r="G230" t="s">
        <v>110</v>
      </c>
      <c r="H230" t="s">
        <v>387</v>
      </c>
      <c r="I230" t="s">
        <v>76</v>
      </c>
      <c r="J230">
        <v>8</v>
      </c>
      <c r="K230">
        <v>11</v>
      </c>
      <c r="L230" t="s">
        <v>67</v>
      </c>
      <c r="M230" t="s">
        <v>29</v>
      </c>
    </row>
    <row r="231" spans="1:13" x14ac:dyDescent="0.45">
      <c r="A231" t="s">
        <v>505</v>
      </c>
      <c r="B231" s="8">
        <v>45054</v>
      </c>
      <c r="C231" s="9">
        <v>0.79027777777777775</v>
      </c>
      <c r="D231" t="s">
        <v>506</v>
      </c>
      <c r="E231" t="s">
        <v>24</v>
      </c>
      <c r="F231">
        <v>53</v>
      </c>
      <c r="G231" t="s">
        <v>161</v>
      </c>
      <c r="H231" t="s">
        <v>387</v>
      </c>
      <c r="I231" t="s">
        <v>27</v>
      </c>
      <c r="J231">
        <v>7</v>
      </c>
      <c r="K231">
        <v>35</v>
      </c>
      <c r="L231" t="s">
        <v>39</v>
      </c>
      <c r="M231" t="s">
        <v>33</v>
      </c>
    </row>
    <row r="232" spans="1:13" x14ac:dyDescent="0.45">
      <c r="A232" t="s">
        <v>507</v>
      </c>
      <c r="B232" s="8">
        <v>45054</v>
      </c>
      <c r="C232" s="9">
        <v>0.5</v>
      </c>
      <c r="D232" t="s">
        <v>508</v>
      </c>
      <c r="E232" t="s">
        <v>24</v>
      </c>
      <c r="F232">
        <v>36</v>
      </c>
      <c r="G232" t="s">
        <v>110</v>
      </c>
      <c r="H232" t="s">
        <v>387</v>
      </c>
      <c r="I232" t="s">
        <v>27</v>
      </c>
      <c r="J232">
        <v>3</v>
      </c>
      <c r="K232">
        <v>34</v>
      </c>
      <c r="L232" t="s">
        <v>87</v>
      </c>
      <c r="M232" t="s">
        <v>33</v>
      </c>
    </row>
    <row r="233" spans="1:13" x14ac:dyDescent="0.45">
      <c r="A233" t="s">
        <v>509</v>
      </c>
      <c r="B233" s="8">
        <v>45413</v>
      </c>
      <c r="C233" s="9">
        <v>0.85833333333333328</v>
      </c>
      <c r="D233" t="s">
        <v>510</v>
      </c>
      <c r="E233" t="s">
        <v>24</v>
      </c>
      <c r="F233">
        <v>9</v>
      </c>
      <c r="G233" t="s">
        <v>233</v>
      </c>
      <c r="H233" t="s">
        <v>387</v>
      </c>
      <c r="I233" t="s">
        <v>76</v>
      </c>
      <c r="J233">
        <v>8</v>
      </c>
      <c r="K233">
        <v>30</v>
      </c>
      <c r="L233" t="s">
        <v>55</v>
      </c>
      <c r="M233" t="s">
        <v>33</v>
      </c>
    </row>
    <row r="234" spans="1:13" x14ac:dyDescent="0.45">
      <c r="A234" t="s">
        <v>511</v>
      </c>
      <c r="B234" s="8">
        <v>45415</v>
      </c>
      <c r="C234" s="9">
        <v>0.20416666666666666</v>
      </c>
      <c r="D234" t="s">
        <v>512</v>
      </c>
      <c r="E234" t="s">
        <v>24</v>
      </c>
      <c r="F234">
        <v>10</v>
      </c>
      <c r="G234" t="s">
        <v>208</v>
      </c>
      <c r="H234" t="s">
        <v>387</v>
      </c>
      <c r="I234" t="s">
        <v>76</v>
      </c>
      <c r="J234">
        <v>4</v>
      </c>
      <c r="K234">
        <v>57</v>
      </c>
      <c r="L234" t="s">
        <v>55</v>
      </c>
      <c r="M234" t="s">
        <v>33</v>
      </c>
    </row>
    <row r="235" spans="1:13" x14ac:dyDescent="0.45">
      <c r="A235" t="s">
        <v>513</v>
      </c>
      <c r="B235" s="8">
        <v>45416</v>
      </c>
      <c r="C235" s="9">
        <v>0.90763888888888888</v>
      </c>
      <c r="D235" t="s">
        <v>514</v>
      </c>
      <c r="E235" t="s">
        <v>54</v>
      </c>
      <c r="F235">
        <v>78</v>
      </c>
      <c r="G235" t="s">
        <v>269</v>
      </c>
      <c r="H235" t="s">
        <v>387</v>
      </c>
      <c r="I235" t="s">
        <v>76</v>
      </c>
      <c r="J235">
        <v>7</v>
      </c>
      <c r="K235">
        <v>54</v>
      </c>
      <c r="L235" t="s">
        <v>67</v>
      </c>
      <c r="M235" t="s">
        <v>33</v>
      </c>
    </row>
    <row r="236" spans="1:13" x14ac:dyDescent="0.45">
      <c r="A236" t="s">
        <v>515</v>
      </c>
      <c r="B236" s="8">
        <v>45416</v>
      </c>
      <c r="C236" s="9">
        <v>0.14444444444444443</v>
      </c>
      <c r="D236" t="s">
        <v>516</v>
      </c>
      <c r="E236" t="s">
        <v>24</v>
      </c>
      <c r="F236">
        <v>77</v>
      </c>
      <c r="G236" t="s">
        <v>208</v>
      </c>
      <c r="H236" t="s">
        <v>387</v>
      </c>
      <c r="I236" t="s">
        <v>76</v>
      </c>
      <c r="J236">
        <v>2</v>
      </c>
      <c r="K236">
        <v>19</v>
      </c>
      <c r="L236" t="s">
        <v>67</v>
      </c>
      <c r="M236" t="s">
        <v>29</v>
      </c>
    </row>
    <row r="237" spans="1:13" x14ac:dyDescent="0.45">
      <c r="A237" t="s">
        <v>517</v>
      </c>
      <c r="B237" s="8">
        <v>45417</v>
      </c>
      <c r="C237" s="9">
        <v>0.33055555555555555</v>
      </c>
      <c r="D237" t="s">
        <v>518</v>
      </c>
      <c r="E237" t="s">
        <v>54</v>
      </c>
      <c r="F237">
        <v>23</v>
      </c>
      <c r="G237" t="s">
        <v>110</v>
      </c>
      <c r="H237" t="s">
        <v>387</v>
      </c>
      <c r="I237" t="s">
        <v>27</v>
      </c>
      <c r="J237">
        <v>3</v>
      </c>
      <c r="K237">
        <v>58</v>
      </c>
      <c r="L237" t="s">
        <v>58</v>
      </c>
      <c r="M237" t="s">
        <v>33</v>
      </c>
    </row>
    <row r="238" spans="1:13" x14ac:dyDescent="0.45">
      <c r="A238" t="s">
        <v>519</v>
      </c>
      <c r="B238" s="8">
        <v>45417</v>
      </c>
      <c r="C238" s="9">
        <v>0.59930555555555554</v>
      </c>
      <c r="D238" t="s">
        <v>520</v>
      </c>
      <c r="E238" t="s">
        <v>54</v>
      </c>
      <c r="F238">
        <v>4</v>
      </c>
      <c r="G238" t="s">
        <v>25</v>
      </c>
      <c r="H238" t="s">
        <v>387</v>
      </c>
      <c r="I238" t="s">
        <v>76</v>
      </c>
      <c r="J238">
        <v>5</v>
      </c>
      <c r="K238">
        <v>24</v>
      </c>
      <c r="L238" t="s">
        <v>55</v>
      </c>
      <c r="M238" t="s">
        <v>29</v>
      </c>
    </row>
    <row r="239" spans="1:13" x14ac:dyDescent="0.45">
      <c r="A239" t="s">
        <v>521</v>
      </c>
      <c r="B239" s="8">
        <v>45418</v>
      </c>
      <c r="C239" s="9">
        <v>0.74583333333333335</v>
      </c>
      <c r="D239" t="s">
        <v>522</v>
      </c>
      <c r="E239" t="s">
        <v>24</v>
      </c>
      <c r="F239">
        <v>40</v>
      </c>
      <c r="G239" t="s">
        <v>110</v>
      </c>
      <c r="H239" t="s">
        <v>387</v>
      </c>
      <c r="I239" t="s">
        <v>27</v>
      </c>
      <c r="J239">
        <v>3</v>
      </c>
      <c r="K239">
        <v>40</v>
      </c>
      <c r="L239" t="s">
        <v>87</v>
      </c>
      <c r="M239" t="s">
        <v>33</v>
      </c>
    </row>
    <row r="240" spans="1:13" x14ac:dyDescent="0.45">
      <c r="A240" t="s">
        <v>523</v>
      </c>
      <c r="B240" s="8">
        <v>45419</v>
      </c>
      <c r="C240" s="9">
        <v>2.5000000000000001E-2</v>
      </c>
      <c r="D240" t="s">
        <v>524</v>
      </c>
      <c r="E240" t="s">
        <v>54</v>
      </c>
      <c r="F240">
        <v>29</v>
      </c>
      <c r="G240" t="s">
        <v>110</v>
      </c>
      <c r="H240" t="s">
        <v>387</v>
      </c>
      <c r="I240" t="s">
        <v>76</v>
      </c>
      <c r="J240">
        <v>7</v>
      </c>
      <c r="K240">
        <v>55</v>
      </c>
      <c r="L240" t="s">
        <v>58</v>
      </c>
      <c r="M240" t="s">
        <v>33</v>
      </c>
    </row>
    <row r="241" spans="1:13" x14ac:dyDescent="0.45">
      <c r="A241" t="s">
        <v>525</v>
      </c>
      <c r="B241" s="8">
        <v>45421</v>
      </c>
      <c r="C241" s="9">
        <v>0.7944444444444444</v>
      </c>
      <c r="D241" t="s">
        <v>526</v>
      </c>
      <c r="E241" t="s">
        <v>24</v>
      </c>
      <c r="F241">
        <v>29</v>
      </c>
      <c r="G241" t="s">
        <v>110</v>
      </c>
      <c r="H241" t="s">
        <v>387</v>
      </c>
      <c r="I241" t="s">
        <v>76</v>
      </c>
      <c r="J241">
        <v>7</v>
      </c>
      <c r="K241">
        <v>54</v>
      </c>
      <c r="L241" t="s">
        <v>58</v>
      </c>
      <c r="M241" t="s">
        <v>33</v>
      </c>
    </row>
    <row r="242" spans="1:13" x14ac:dyDescent="0.45">
      <c r="A242" t="s">
        <v>527</v>
      </c>
      <c r="B242" s="8">
        <v>45050</v>
      </c>
      <c r="C242" s="9">
        <v>0.92986111111111114</v>
      </c>
      <c r="D242" t="s">
        <v>528</v>
      </c>
      <c r="E242" t="s">
        <v>24</v>
      </c>
      <c r="F242">
        <v>2</v>
      </c>
      <c r="G242" t="s">
        <v>161</v>
      </c>
      <c r="H242" t="s">
        <v>294</v>
      </c>
      <c r="I242" t="s">
        <v>27</v>
      </c>
      <c r="J242">
        <v>0</v>
      </c>
      <c r="K242">
        <v>44</v>
      </c>
      <c r="L242" t="s">
        <v>55</v>
      </c>
      <c r="M242" t="s">
        <v>33</v>
      </c>
    </row>
    <row r="243" spans="1:13" x14ac:dyDescent="0.45">
      <c r="A243" t="s">
        <v>529</v>
      </c>
      <c r="B243" s="8">
        <v>45051</v>
      </c>
      <c r="C243" s="9">
        <v>0.23055555555555557</v>
      </c>
      <c r="D243" t="s">
        <v>530</v>
      </c>
      <c r="E243" t="s">
        <v>24</v>
      </c>
      <c r="F243">
        <v>51</v>
      </c>
      <c r="G243" t="s">
        <v>208</v>
      </c>
      <c r="H243" t="s">
        <v>294</v>
      </c>
      <c r="I243" t="s">
        <v>27</v>
      </c>
      <c r="J243">
        <v>9</v>
      </c>
      <c r="K243">
        <v>48</v>
      </c>
      <c r="L243" t="s">
        <v>39</v>
      </c>
      <c r="M243" t="s">
        <v>33</v>
      </c>
    </row>
    <row r="244" spans="1:13" x14ac:dyDescent="0.45">
      <c r="A244" t="s">
        <v>531</v>
      </c>
      <c r="B244" s="8">
        <v>45052</v>
      </c>
      <c r="C244" s="9">
        <v>0.4236111111111111</v>
      </c>
      <c r="D244" t="s">
        <v>532</v>
      </c>
      <c r="E244" t="s">
        <v>54</v>
      </c>
      <c r="F244">
        <v>14</v>
      </c>
      <c r="G244" t="s">
        <v>161</v>
      </c>
      <c r="H244" t="s">
        <v>294</v>
      </c>
      <c r="I244" t="s">
        <v>76</v>
      </c>
      <c r="J244">
        <v>8</v>
      </c>
      <c r="K244">
        <v>12</v>
      </c>
      <c r="L244" t="s">
        <v>32</v>
      </c>
      <c r="M244" t="s">
        <v>29</v>
      </c>
    </row>
    <row r="245" spans="1:13" x14ac:dyDescent="0.45">
      <c r="A245" t="s">
        <v>533</v>
      </c>
      <c r="B245" s="8">
        <v>45054</v>
      </c>
      <c r="C245" s="9">
        <v>0.4236111111111111</v>
      </c>
      <c r="D245" t="s">
        <v>534</v>
      </c>
      <c r="E245" t="s">
        <v>54</v>
      </c>
      <c r="F245">
        <v>37</v>
      </c>
      <c r="G245" t="s">
        <v>161</v>
      </c>
      <c r="H245" t="s">
        <v>294</v>
      </c>
      <c r="I245" t="s">
        <v>76</v>
      </c>
      <c r="J245">
        <v>5</v>
      </c>
      <c r="K245">
        <v>10</v>
      </c>
      <c r="L245" t="s">
        <v>87</v>
      </c>
      <c r="M245" t="s">
        <v>29</v>
      </c>
    </row>
    <row r="246" spans="1:13" x14ac:dyDescent="0.45">
      <c r="A246" t="s">
        <v>535</v>
      </c>
      <c r="B246" s="8">
        <v>45056</v>
      </c>
      <c r="C246" s="9">
        <v>0.4777777777777778</v>
      </c>
      <c r="D246" t="s">
        <v>536</v>
      </c>
      <c r="E246" t="s">
        <v>24</v>
      </c>
      <c r="F246">
        <v>50</v>
      </c>
      <c r="G246" t="s">
        <v>161</v>
      </c>
      <c r="H246" t="s">
        <v>294</v>
      </c>
      <c r="I246" t="s">
        <v>27</v>
      </c>
      <c r="J246">
        <v>2</v>
      </c>
      <c r="K246">
        <v>50</v>
      </c>
      <c r="L246" t="s">
        <v>36</v>
      </c>
      <c r="M246" t="s">
        <v>33</v>
      </c>
    </row>
    <row r="247" spans="1:13" x14ac:dyDescent="0.45">
      <c r="A247" t="s">
        <v>537</v>
      </c>
      <c r="B247" s="8">
        <v>45056</v>
      </c>
      <c r="C247" s="9">
        <v>0.30833333333333335</v>
      </c>
      <c r="D247" t="s">
        <v>538</v>
      </c>
      <c r="E247" t="s">
        <v>54</v>
      </c>
      <c r="F247">
        <v>18</v>
      </c>
      <c r="G247" t="s">
        <v>25</v>
      </c>
      <c r="H247" t="s">
        <v>294</v>
      </c>
      <c r="I247" t="s">
        <v>76</v>
      </c>
      <c r="J247">
        <v>8</v>
      </c>
      <c r="K247">
        <v>12</v>
      </c>
      <c r="L247" t="s">
        <v>32</v>
      </c>
      <c r="M247" t="s">
        <v>29</v>
      </c>
    </row>
    <row r="248" spans="1:13" x14ac:dyDescent="0.45">
      <c r="A248" t="s">
        <v>539</v>
      </c>
      <c r="B248" s="8">
        <v>45057</v>
      </c>
      <c r="C248" s="9">
        <v>0.27430555555555558</v>
      </c>
      <c r="D248" t="s">
        <v>540</v>
      </c>
      <c r="E248" t="s">
        <v>54</v>
      </c>
      <c r="F248">
        <v>15</v>
      </c>
      <c r="G248" t="s">
        <v>25</v>
      </c>
      <c r="H248" t="s">
        <v>294</v>
      </c>
      <c r="I248" t="s">
        <v>76</v>
      </c>
      <c r="J248">
        <v>2</v>
      </c>
      <c r="K248">
        <v>43</v>
      </c>
      <c r="L248" t="s">
        <v>32</v>
      </c>
      <c r="M248" t="s">
        <v>33</v>
      </c>
    </row>
    <row r="249" spans="1:13" x14ac:dyDescent="0.45">
      <c r="A249" t="s">
        <v>541</v>
      </c>
      <c r="B249" s="8">
        <v>45057</v>
      </c>
      <c r="C249" s="9">
        <v>0.40625</v>
      </c>
      <c r="D249" t="s">
        <v>542</v>
      </c>
      <c r="E249" t="s">
        <v>54</v>
      </c>
      <c r="F249">
        <v>61</v>
      </c>
      <c r="G249" t="s">
        <v>25</v>
      </c>
      <c r="H249" t="s">
        <v>294</v>
      </c>
      <c r="I249" t="s">
        <v>76</v>
      </c>
      <c r="J249">
        <v>7</v>
      </c>
      <c r="K249">
        <v>52</v>
      </c>
      <c r="L249" t="s">
        <v>28</v>
      </c>
      <c r="M249" t="s">
        <v>33</v>
      </c>
    </row>
    <row r="250" spans="1:13" x14ac:dyDescent="0.45">
      <c r="A250" t="s">
        <v>543</v>
      </c>
      <c r="B250" s="8">
        <v>45058</v>
      </c>
      <c r="C250" s="9">
        <v>0.3527777777777778</v>
      </c>
      <c r="D250" t="s">
        <v>544</v>
      </c>
      <c r="E250" t="s">
        <v>54</v>
      </c>
      <c r="F250">
        <v>61</v>
      </c>
      <c r="G250" t="s">
        <v>208</v>
      </c>
      <c r="H250" t="s">
        <v>294</v>
      </c>
      <c r="I250" t="s">
        <v>76</v>
      </c>
      <c r="J250">
        <v>5</v>
      </c>
      <c r="K250">
        <v>22</v>
      </c>
      <c r="L250" t="s">
        <v>28</v>
      </c>
      <c r="M250" t="s">
        <v>29</v>
      </c>
    </row>
    <row r="251" spans="1:13" x14ac:dyDescent="0.45">
      <c r="A251" t="s">
        <v>545</v>
      </c>
      <c r="B251" s="8">
        <v>45058</v>
      </c>
      <c r="C251" s="9">
        <v>0.80208333333333337</v>
      </c>
      <c r="D251" t="s">
        <v>546</v>
      </c>
      <c r="E251" t="s">
        <v>54</v>
      </c>
      <c r="F251">
        <v>50</v>
      </c>
      <c r="G251" t="s">
        <v>25</v>
      </c>
      <c r="H251" t="s">
        <v>294</v>
      </c>
      <c r="I251" t="s">
        <v>27</v>
      </c>
      <c r="J251">
        <v>0</v>
      </c>
      <c r="K251">
        <v>53</v>
      </c>
      <c r="L251" t="s">
        <v>36</v>
      </c>
      <c r="M251" t="s">
        <v>33</v>
      </c>
    </row>
    <row r="252" spans="1:13" x14ac:dyDescent="0.45">
      <c r="A252" t="s">
        <v>547</v>
      </c>
      <c r="B252" s="8">
        <v>45058</v>
      </c>
      <c r="C252" s="9">
        <v>0.66736111111111107</v>
      </c>
      <c r="D252" t="s">
        <v>548</v>
      </c>
      <c r="E252" t="s">
        <v>54</v>
      </c>
      <c r="F252">
        <v>11</v>
      </c>
      <c r="G252" t="s">
        <v>110</v>
      </c>
      <c r="H252" t="s">
        <v>294</v>
      </c>
      <c r="I252" t="s">
        <v>27</v>
      </c>
      <c r="J252">
        <v>5</v>
      </c>
      <c r="K252">
        <v>54</v>
      </c>
      <c r="L252" t="s">
        <v>32</v>
      </c>
      <c r="M252" t="s">
        <v>33</v>
      </c>
    </row>
    <row r="253" spans="1:13" x14ac:dyDescent="0.45">
      <c r="A253" t="s">
        <v>549</v>
      </c>
      <c r="B253" s="8">
        <v>45413</v>
      </c>
      <c r="C253" s="9">
        <v>7.2222222222222215E-2</v>
      </c>
      <c r="D253" t="s">
        <v>550</v>
      </c>
      <c r="E253" t="s">
        <v>24</v>
      </c>
      <c r="F253">
        <v>37</v>
      </c>
      <c r="G253" t="s">
        <v>25</v>
      </c>
      <c r="H253" t="s">
        <v>294</v>
      </c>
      <c r="I253" t="s">
        <v>27</v>
      </c>
      <c r="J253">
        <v>6</v>
      </c>
      <c r="K253">
        <v>14</v>
      </c>
      <c r="L253" t="s">
        <v>87</v>
      </c>
      <c r="M253" t="s">
        <v>29</v>
      </c>
    </row>
    <row r="254" spans="1:13" x14ac:dyDescent="0.45">
      <c r="A254" t="s">
        <v>551</v>
      </c>
      <c r="B254" s="8">
        <v>45413</v>
      </c>
      <c r="C254" s="9">
        <v>0.80138888888888893</v>
      </c>
      <c r="D254" t="s">
        <v>552</v>
      </c>
      <c r="E254" t="s">
        <v>54</v>
      </c>
      <c r="F254">
        <v>9</v>
      </c>
      <c r="G254" t="s">
        <v>161</v>
      </c>
      <c r="H254" t="s">
        <v>294</v>
      </c>
      <c r="I254" t="s">
        <v>27</v>
      </c>
      <c r="J254">
        <v>10</v>
      </c>
      <c r="K254">
        <v>28</v>
      </c>
      <c r="L254" t="s">
        <v>55</v>
      </c>
      <c r="M254" t="s">
        <v>29</v>
      </c>
    </row>
    <row r="255" spans="1:13" x14ac:dyDescent="0.45">
      <c r="A255" t="s">
        <v>553</v>
      </c>
      <c r="B255" s="8">
        <v>45419</v>
      </c>
      <c r="C255" s="9">
        <v>0.8125</v>
      </c>
      <c r="D255" t="s">
        <v>554</v>
      </c>
      <c r="E255" t="s">
        <v>54</v>
      </c>
      <c r="F255">
        <v>6</v>
      </c>
      <c r="G255" t="s">
        <v>110</v>
      </c>
      <c r="H255" t="s">
        <v>294</v>
      </c>
      <c r="I255" t="s">
        <v>27</v>
      </c>
      <c r="J255">
        <v>6</v>
      </c>
      <c r="K255">
        <v>17</v>
      </c>
      <c r="L255" t="s">
        <v>55</v>
      </c>
      <c r="M255" t="s">
        <v>29</v>
      </c>
    </row>
    <row r="256" spans="1:13" x14ac:dyDescent="0.45">
      <c r="A256" t="s">
        <v>555</v>
      </c>
      <c r="B256" s="8">
        <v>45419</v>
      </c>
      <c r="C256" s="9">
        <v>0.82916666666666672</v>
      </c>
      <c r="D256" t="s">
        <v>556</v>
      </c>
      <c r="E256" t="s">
        <v>54</v>
      </c>
      <c r="F256">
        <v>2</v>
      </c>
      <c r="G256" t="s">
        <v>161</v>
      </c>
      <c r="H256" t="s">
        <v>294</v>
      </c>
      <c r="I256" t="s">
        <v>27</v>
      </c>
      <c r="J256">
        <v>10</v>
      </c>
      <c r="K256">
        <v>26</v>
      </c>
      <c r="L256" t="s">
        <v>55</v>
      </c>
      <c r="M256" t="s">
        <v>29</v>
      </c>
    </row>
    <row r="257" spans="1:13" x14ac:dyDescent="0.45">
      <c r="A257" t="s">
        <v>557</v>
      </c>
      <c r="B257" s="8">
        <v>45420</v>
      </c>
      <c r="C257" s="9">
        <v>0.79236111111111107</v>
      </c>
      <c r="D257" t="s">
        <v>558</v>
      </c>
      <c r="E257" t="s">
        <v>54</v>
      </c>
      <c r="F257">
        <v>77</v>
      </c>
      <c r="G257" t="s">
        <v>110</v>
      </c>
      <c r="H257" t="s">
        <v>294</v>
      </c>
      <c r="I257" t="s">
        <v>27</v>
      </c>
      <c r="J257">
        <v>4</v>
      </c>
      <c r="K257">
        <v>22</v>
      </c>
      <c r="L257" t="s">
        <v>67</v>
      </c>
      <c r="M257" t="s">
        <v>29</v>
      </c>
    </row>
    <row r="258" spans="1:13" x14ac:dyDescent="0.45">
      <c r="A258" t="s">
        <v>559</v>
      </c>
      <c r="B258" s="8">
        <v>45421</v>
      </c>
      <c r="C258" s="9">
        <v>0.72638888888888886</v>
      </c>
      <c r="D258" t="s">
        <v>560</v>
      </c>
      <c r="E258" t="s">
        <v>54</v>
      </c>
      <c r="F258">
        <v>68</v>
      </c>
      <c r="G258" t="s">
        <v>233</v>
      </c>
      <c r="H258" t="s">
        <v>294</v>
      </c>
      <c r="I258" t="s">
        <v>76</v>
      </c>
      <c r="J258">
        <v>5</v>
      </c>
      <c r="K258">
        <v>38</v>
      </c>
      <c r="L258" t="s">
        <v>28</v>
      </c>
      <c r="M258" t="s">
        <v>33</v>
      </c>
    </row>
    <row r="259" spans="1:13" x14ac:dyDescent="0.45">
      <c r="A259" t="s">
        <v>561</v>
      </c>
      <c r="B259" s="8">
        <v>45422</v>
      </c>
      <c r="C259" s="9">
        <v>0.46666666666666667</v>
      </c>
      <c r="D259" t="s">
        <v>562</v>
      </c>
      <c r="E259" t="s">
        <v>54</v>
      </c>
      <c r="F259">
        <v>40</v>
      </c>
      <c r="G259" t="s">
        <v>25</v>
      </c>
      <c r="H259" t="s">
        <v>294</v>
      </c>
      <c r="I259" t="s">
        <v>27</v>
      </c>
      <c r="J259">
        <v>4</v>
      </c>
      <c r="K259">
        <v>40</v>
      </c>
      <c r="L259" t="s">
        <v>87</v>
      </c>
      <c r="M259" t="s">
        <v>33</v>
      </c>
    </row>
    <row r="260" spans="1:13" x14ac:dyDescent="0.45">
      <c r="A260" t="s">
        <v>563</v>
      </c>
      <c r="B260" s="8">
        <v>45050</v>
      </c>
      <c r="C260" s="9">
        <v>0.79027777777777775</v>
      </c>
      <c r="D260" t="s">
        <v>564</v>
      </c>
      <c r="E260" t="s">
        <v>24</v>
      </c>
      <c r="F260">
        <v>27</v>
      </c>
      <c r="G260" t="s">
        <v>208</v>
      </c>
      <c r="H260" t="s">
        <v>26</v>
      </c>
      <c r="I260" t="s">
        <v>76</v>
      </c>
      <c r="J260">
        <v>4</v>
      </c>
      <c r="K260">
        <v>49</v>
      </c>
      <c r="L260" t="s">
        <v>58</v>
      </c>
      <c r="M260" t="s">
        <v>33</v>
      </c>
    </row>
    <row r="261" spans="1:13" x14ac:dyDescent="0.45">
      <c r="A261" t="s">
        <v>565</v>
      </c>
      <c r="B261" s="8">
        <v>45051</v>
      </c>
      <c r="C261" s="9">
        <v>0.39861111111111114</v>
      </c>
      <c r="D261" t="s">
        <v>566</v>
      </c>
      <c r="E261" t="s">
        <v>54</v>
      </c>
      <c r="F261">
        <v>62</v>
      </c>
      <c r="G261" t="s">
        <v>256</v>
      </c>
      <c r="H261" t="s">
        <v>26</v>
      </c>
      <c r="I261" t="s">
        <v>76</v>
      </c>
      <c r="J261">
        <v>8</v>
      </c>
      <c r="K261">
        <v>26</v>
      </c>
      <c r="L261" t="s">
        <v>28</v>
      </c>
      <c r="M261" t="s">
        <v>29</v>
      </c>
    </row>
    <row r="262" spans="1:13" x14ac:dyDescent="0.45">
      <c r="A262" t="s">
        <v>567</v>
      </c>
      <c r="B262" s="8">
        <v>45052</v>
      </c>
      <c r="C262" s="9">
        <v>0.21319444444444444</v>
      </c>
      <c r="D262" t="s">
        <v>568</v>
      </c>
      <c r="E262" t="s">
        <v>54</v>
      </c>
      <c r="F262">
        <v>21</v>
      </c>
      <c r="G262" t="s">
        <v>233</v>
      </c>
      <c r="H262" t="s">
        <v>26</v>
      </c>
      <c r="I262" t="s">
        <v>27</v>
      </c>
      <c r="J262">
        <v>4</v>
      </c>
      <c r="K262">
        <v>26</v>
      </c>
      <c r="L262" t="s">
        <v>58</v>
      </c>
      <c r="M262" t="s">
        <v>29</v>
      </c>
    </row>
    <row r="263" spans="1:13" x14ac:dyDescent="0.45">
      <c r="A263" t="s">
        <v>569</v>
      </c>
      <c r="B263" s="8">
        <v>45057</v>
      </c>
      <c r="C263" s="9">
        <v>0.55138888888888893</v>
      </c>
      <c r="D263" t="s">
        <v>570</v>
      </c>
      <c r="E263" t="s">
        <v>24</v>
      </c>
      <c r="F263">
        <v>42</v>
      </c>
      <c r="G263" t="s">
        <v>208</v>
      </c>
      <c r="H263" t="s">
        <v>26</v>
      </c>
      <c r="I263" t="s">
        <v>27</v>
      </c>
      <c r="J263">
        <v>1</v>
      </c>
      <c r="K263">
        <v>14</v>
      </c>
      <c r="L263" t="s">
        <v>36</v>
      </c>
      <c r="M263" t="s">
        <v>29</v>
      </c>
    </row>
    <row r="264" spans="1:13" x14ac:dyDescent="0.45">
      <c r="A264" t="s">
        <v>571</v>
      </c>
      <c r="B264" s="8">
        <v>45058</v>
      </c>
      <c r="C264" s="9">
        <v>0.72847222222222219</v>
      </c>
      <c r="D264" t="s">
        <v>572</v>
      </c>
      <c r="E264" t="s">
        <v>54</v>
      </c>
      <c r="F264">
        <v>72</v>
      </c>
      <c r="G264" t="s">
        <v>233</v>
      </c>
      <c r="H264" t="s">
        <v>26</v>
      </c>
      <c r="I264" t="s">
        <v>76</v>
      </c>
      <c r="J264">
        <v>3</v>
      </c>
      <c r="K264">
        <v>48</v>
      </c>
      <c r="L264" t="s">
        <v>67</v>
      </c>
      <c r="M264" t="s">
        <v>33</v>
      </c>
    </row>
    <row r="265" spans="1:13" x14ac:dyDescent="0.45">
      <c r="A265" t="s">
        <v>573</v>
      </c>
      <c r="B265" s="8">
        <v>45418</v>
      </c>
      <c r="C265" s="9">
        <v>6.1805555555555558E-2</v>
      </c>
      <c r="D265" t="s">
        <v>574</v>
      </c>
      <c r="E265" t="s">
        <v>54</v>
      </c>
      <c r="F265">
        <v>18</v>
      </c>
      <c r="G265" t="s">
        <v>208</v>
      </c>
      <c r="H265" t="s">
        <v>26</v>
      </c>
      <c r="I265" t="s">
        <v>76</v>
      </c>
      <c r="J265">
        <v>3</v>
      </c>
      <c r="K265">
        <v>15</v>
      </c>
      <c r="L265" t="s">
        <v>32</v>
      </c>
      <c r="M265" t="s">
        <v>29</v>
      </c>
    </row>
    <row r="266" spans="1:13" x14ac:dyDescent="0.45">
      <c r="A266" t="s">
        <v>575</v>
      </c>
      <c r="B266" s="8">
        <v>45419</v>
      </c>
      <c r="C266" s="9">
        <v>0.77222222222222225</v>
      </c>
      <c r="D266" t="s">
        <v>576</v>
      </c>
      <c r="E266" t="s">
        <v>54</v>
      </c>
      <c r="F266">
        <v>6</v>
      </c>
      <c r="G266" t="s">
        <v>208</v>
      </c>
      <c r="H266" t="s">
        <v>26</v>
      </c>
      <c r="I266" t="s">
        <v>76</v>
      </c>
      <c r="J266">
        <v>9</v>
      </c>
      <c r="K266">
        <v>52</v>
      </c>
      <c r="L266" t="s">
        <v>55</v>
      </c>
      <c r="M266" t="s">
        <v>33</v>
      </c>
    </row>
    <row r="267" spans="1:13" x14ac:dyDescent="0.45">
      <c r="A267" t="s">
        <v>577</v>
      </c>
      <c r="B267" s="8">
        <v>45420</v>
      </c>
      <c r="C267" s="9">
        <v>9.5138888888888884E-2</v>
      </c>
      <c r="D267" t="s">
        <v>578</v>
      </c>
      <c r="E267" t="s">
        <v>24</v>
      </c>
      <c r="F267">
        <v>32</v>
      </c>
      <c r="G267" t="s">
        <v>233</v>
      </c>
      <c r="H267" t="s">
        <v>26</v>
      </c>
      <c r="I267" t="s">
        <v>76</v>
      </c>
      <c r="J267">
        <v>8</v>
      </c>
      <c r="K267">
        <v>15</v>
      </c>
      <c r="L267" t="s">
        <v>87</v>
      </c>
      <c r="M267" t="s">
        <v>29</v>
      </c>
    </row>
    <row r="268" spans="1:13" x14ac:dyDescent="0.45">
      <c r="A268" t="s">
        <v>579</v>
      </c>
      <c r="B268" s="8">
        <v>45421</v>
      </c>
      <c r="C268" s="9">
        <v>0.27083333333333331</v>
      </c>
      <c r="D268" t="s">
        <v>580</v>
      </c>
      <c r="E268" t="s">
        <v>24</v>
      </c>
      <c r="F268">
        <v>28</v>
      </c>
      <c r="G268" t="s">
        <v>208</v>
      </c>
      <c r="H268" t="s">
        <v>26</v>
      </c>
      <c r="I268" t="s">
        <v>76</v>
      </c>
      <c r="J268">
        <v>9</v>
      </c>
      <c r="K268">
        <v>29</v>
      </c>
      <c r="L268" t="s">
        <v>58</v>
      </c>
      <c r="M268" t="s">
        <v>29</v>
      </c>
    </row>
    <row r="269" spans="1:13" x14ac:dyDescent="0.45">
      <c r="A269" t="s">
        <v>581</v>
      </c>
      <c r="B269" s="8">
        <v>45052</v>
      </c>
      <c r="C269" s="9">
        <v>1.8749999999999999E-2</v>
      </c>
      <c r="D269" t="s">
        <v>582</v>
      </c>
      <c r="E269" t="s">
        <v>24</v>
      </c>
      <c r="F269">
        <v>11</v>
      </c>
      <c r="G269" t="s">
        <v>161</v>
      </c>
      <c r="H269" t="s">
        <v>26</v>
      </c>
      <c r="I269" t="s">
        <v>76</v>
      </c>
      <c r="J269">
        <v>5</v>
      </c>
      <c r="K269">
        <v>36</v>
      </c>
      <c r="L269" t="s">
        <v>32</v>
      </c>
      <c r="M269" t="s">
        <v>33</v>
      </c>
    </row>
    <row r="270" spans="1:13" x14ac:dyDescent="0.45">
      <c r="A270" t="s">
        <v>583</v>
      </c>
      <c r="B270" s="8">
        <v>45052</v>
      </c>
      <c r="C270" s="9">
        <v>0.81458333333333333</v>
      </c>
      <c r="D270" t="s">
        <v>584</v>
      </c>
      <c r="E270" t="s">
        <v>24</v>
      </c>
      <c r="F270">
        <v>25</v>
      </c>
      <c r="G270" t="s">
        <v>161</v>
      </c>
      <c r="H270" t="s">
        <v>26</v>
      </c>
      <c r="I270" t="s">
        <v>27</v>
      </c>
      <c r="J270">
        <v>1</v>
      </c>
      <c r="K270">
        <v>35</v>
      </c>
      <c r="L270" t="s">
        <v>58</v>
      </c>
      <c r="M270" t="s">
        <v>33</v>
      </c>
    </row>
    <row r="271" spans="1:13" x14ac:dyDescent="0.45">
      <c r="A271" t="s">
        <v>585</v>
      </c>
      <c r="B271" s="8">
        <v>45418</v>
      </c>
      <c r="C271" s="9">
        <v>0.78472222222222221</v>
      </c>
      <c r="D271" t="s">
        <v>586</v>
      </c>
      <c r="E271" t="s">
        <v>24</v>
      </c>
      <c r="F271">
        <v>34</v>
      </c>
      <c r="G271" t="s">
        <v>161</v>
      </c>
      <c r="H271" t="s">
        <v>26</v>
      </c>
      <c r="I271" t="s">
        <v>76</v>
      </c>
      <c r="J271">
        <v>6</v>
      </c>
      <c r="K271">
        <v>41</v>
      </c>
      <c r="L271" t="s">
        <v>87</v>
      </c>
      <c r="M271" t="s">
        <v>33</v>
      </c>
    </row>
    <row r="272" spans="1:13" x14ac:dyDescent="0.45">
      <c r="A272" t="s">
        <v>587</v>
      </c>
      <c r="B272" s="8">
        <v>45420</v>
      </c>
      <c r="C272" s="9">
        <v>0.57638888888888884</v>
      </c>
      <c r="D272" t="s">
        <v>588</v>
      </c>
      <c r="E272" t="s">
        <v>54</v>
      </c>
      <c r="F272">
        <v>72</v>
      </c>
      <c r="G272" t="s">
        <v>161</v>
      </c>
      <c r="H272" t="s">
        <v>26</v>
      </c>
      <c r="I272" t="s">
        <v>27</v>
      </c>
      <c r="J272">
        <v>10</v>
      </c>
      <c r="K272">
        <v>52</v>
      </c>
      <c r="L272" t="s">
        <v>67</v>
      </c>
      <c r="M272" t="s">
        <v>33</v>
      </c>
    </row>
    <row r="273" spans="1:13" x14ac:dyDescent="0.45">
      <c r="A273" t="s">
        <v>589</v>
      </c>
      <c r="B273" s="8">
        <v>45058</v>
      </c>
      <c r="C273" s="9">
        <v>0.12638888888888888</v>
      </c>
      <c r="D273" t="s">
        <v>590</v>
      </c>
      <c r="E273" t="s">
        <v>54</v>
      </c>
      <c r="F273">
        <v>79</v>
      </c>
      <c r="G273" t="s">
        <v>110</v>
      </c>
      <c r="H273" t="s">
        <v>26</v>
      </c>
      <c r="I273" t="s">
        <v>27</v>
      </c>
      <c r="J273">
        <v>4</v>
      </c>
      <c r="K273">
        <v>13</v>
      </c>
      <c r="L273" t="s">
        <v>67</v>
      </c>
      <c r="M273" t="s">
        <v>29</v>
      </c>
    </row>
    <row r="274" spans="1:13" x14ac:dyDescent="0.45">
      <c r="A274" t="s">
        <v>591</v>
      </c>
      <c r="B274" s="8">
        <v>45418</v>
      </c>
      <c r="C274" s="9">
        <v>0.87222222222222223</v>
      </c>
      <c r="D274" t="s">
        <v>592</v>
      </c>
      <c r="E274" t="s">
        <v>54</v>
      </c>
      <c r="F274">
        <v>39</v>
      </c>
      <c r="G274" t="s">
        <v>110</v>
      </c>
      <c r="H274" t="s">
        <v>26</v>
      </c>
      <c r="I274" t="s">
        <v>27</v>
      </c>
      <c r="J274">
        <v>6</v>
      </c>
      <c r="K274">
        <v>57</v>
      </c>
      <c r="L274" t="s">
        <v>87</v>
      </c>
      <c r="M274" t="s">
        <v>33</v>
      </c>
    </row>
    <row r="275" spans="1:13" x14ac:dyDescent="0.45">
      <c r="A275" t="s">
        <v>593</v>
      </c>
      <c r="B275" s="8">
        <v>45418</v>
      </c>
      <c r="C275" s="9">
        <v>0.25833333333333336</v>
      </c>
      <c r="D275" t="s">
        <v>594</v>
      </c>
      <c r="E275" t="s">
        <v>24</v>
      </c>
      <c r="F275">
        <v>31</v>
      </c>
      <c r="G275" t="s">
        <v>110</v>
      </c>
      <c r="H275" t="s">
        <v>26</v>
      </c>
      <c r="I275" t="s">
        <v>27</v>
      </c>
      <c r="J275">
        <v>7</v>
      </c>
      <c r="K275">
        <v>58</v>
      </c>
      <c r="L275" t="s">
        <v>87</v>
      </c>
      <c r="M275" t="s">
        <v>33</v>
      </c>
    </row>
    <row r="276" spans="1:13" x14ac:dyDescent="0.45">
      <c r="A276" t="s">
        <v>595</v>
      </c>
      <c r="B276" s="8">
        <v>45422</v>
      </c>
      <c r="C276" s="9">
        <v>0.43888888888888888</v>
      </c>
      <c r="D276" t="s">
        <v>596</v>
      </c>
      <c r="E276" t="s">
        <v>24</v>
      </c>
      <c r="F276">
        <v>24</v>
      </c>
      <c r="G276" t="s">
        <v>110</v>
      </c>
      <c r="H276" t="s">
        <v>26</v>
      </c>
      <c r="I276" t="s">
        <v>27</v>
      </c>
      <c r="J276">
        <v>8</v>
      </c>
      <c r="K276">
        <v>10</v>
      </c>
      <c r="L276" t="s">
        <v>58</v>
      </c>
      <c r="M276" t="s">
        <v>29</v>
      </c>
    </row>
    <row r="277" spans="1:13" x14ac:dyDescent="0.45">
      <c r="A277" t="s">
        <v>597</v>
      </c>
      <c r="B277" s="8">
        <v>45050</v>
      </c>
      <c r="C277" s="9">
        <v>0.61458333333333337</v>
      </c>
      <c r="D277" t="s">
        <v>598</v>
      </c>
      <c r="E277" t="s">
        <v>24</v>
      </c>
      <c r="F277">
        <v>4</v>
      </c>
      <c r="G277" t="s">
        <v>110</v>
      </c>
      <c r="H277" t="s">
        <v>26</v>
      </c>
      <c r="I277" t="s">
        <v>76</v>
      </c>
      <c r="J277">
        <v>9</v>
      </c>
      <c r="K277">
        <v>34</v>
      </c>
      <c r="L277" t="s">
        <v>55</v>
      </c>
      <c r="M277" t="s">
        <v>33</v>
      </c>
    </row>
    <row r="278" spans="1:13" x14ac:dyDescent="0.45">
      <c r="A278" t="s">
        <v>599</v>
      </c>
      <c r="B278" s="8">
        <v>45050</v>
      </c>
      <c r="C278" s="9">
        <v>0.2673611111111111</v>
      </c>
      <c r="D278" t="s">
        <v>600</v>
      </c>
      <c r="E278" t="s">
        <v>54</v>
      </c>
      <c r="F278">
        <v>26</v>
      </c>
      <c r="G278" t="s">
        <v>110</v>
      </c>
      <c r="H278" t="s">
        <v>26</v>
      </c>
      <c r="I278" t="s">
        <v>76</v>
      </c>
      <c r="J278">
        <v>10</v>
      </c>
      <c r="K278">
        <v>46</v>
      </c>
      <c r="L278" t="s">
        <v>58</v>
      </c>
      <c r="M278" t="s">
        <v>33</v>
      </c>
    </row>
    <row r="279" spans="1:13" x14ac:dyDescent="0.45">
      <c r="A279" t="s">
        <v>601</v>
      </c>
      <c r="B279" s="8">
        <v>45052</v>
      </c>
      <c r="C279" s="9">
        <v>0.12222222222222222</v>
      </c>
      <c r="D279" t="s">
        <v>602</v>
      </c>
      <c r="E279" t="s">
        <v>24</v>
      </c>
      <c r="F279">
        <v>54</v>
      </c>
      <c r="G279" t="s">
        <v>110</v>
      </c>
      <c r="H279" t="s">
        <v>26</v>
      </c>
      <c r="I279" t="s">
        <v>76</v>
      </c>
      <c r="J279">
        <v>0</v>
      </c>
      <c r="K279">
        <v>59</v>
      </c>
      <c r="L279" t="s">
        <v>39</v>
      </c>
      <c r="M279" t="s">
        <v>33</v>
      </c>
    </row>
    <row r="280" spans="1:13" x14ac:dyDescent="0.45">
      <c r="A280" t="s">
        <v>603</v>
      </c>
      <c r="B280" s="8">
        <v>45054</v>
      </c>
      <c r="C280" s="9">
        <v>0.64166666666666672</v>
      </c>
      <c r="D280" t="s">
        <v>604</v>
      </c>
      <c r="E280" t="s">
        <v>54</v>
      </c>
      <c r="F280">
        <v>39</v>
      </c>
      <c r="G280" t="s">
        <v>110</v>
      </c>
      <c r="H280" t="s">
        <v>26</v>
      </c>
      <c r="I280" t="s">
        <v>76</v>
      </c>
      <c r="J280">
        <v>10</v>
      </c>
      <c r="K280">
        <v>54</v>
      </c>
      <c r="L280" t="s">
        <v>87</v>
      </c>
      <c r="M280" t="s">
        <v>33</v>
      </c>
    </row>
    <row r="281" spans="1:13" x14ac:dyDescent="0.45">
      <c r="A281" t="s">
        <v>605</v>
      </c>
      <c r="B281" s="8">
        <v>45055</v>
      </c>
      <c r="C281" s="9">
        <v>0.17708333333333334</v>
      </c>
      <c r="D281" t="s">
        <v>606</v>
      </c>
      <c r="E281" t="s">
        <v>54</v>
      </c>
      <c r="F281">
        <v>20</v>
      </c>
      <c r="G281" t="s">
        <v>110</v>
      </c>
      <c r="H281" t="s">
        <v>26</v>
      </c>
      <c r="I281" t="s">
        <v>76</v>
      </c>
      <c r="J281">
        <v>4</v>
      </c>
      <c r="K281">
        <v>43</v>
      </c>
      <c r="L281" t="s">
        <v>32</v>
      </c>
      <c r="M281" t="s">
        <v>33</v>
      </c>
    </row>
    <row r="282" spans="1:13" x14ac:dyDescent="0.45">
      <c r="A282" t="s">
        <v>607</v>
      </c>
      <c r="B282" s="8">
        <v>45057</v>
      </c>
      <c r="C282" s="9">
        <v>0.61805555555555558</v>
      </c>
      <c r="D282" t="s">
        <v>608</v>
      </c>
      <c r="E282" t="s">
        <v>24</v>
      </c>
      <c r="F282">
        <v>44</v>
      </c>
      <c r="G282" t="s">
        <v>110</v>
      </c>
      <c r="H282" t="s">
        <v>26</v>
      </c>
      <c r="I282" t="s">
        <v>76</v>
      </c>
      <c r="J282">
        <v>0</v>
      </c>
      <c r="K282">
        <v>27</v>
      </c>
      <c r="L282" t="s">
        <v>36</v>
      </c>
      <c r="M282" t="s">
        <v>29</v>
      </c>
    </row>
    <row r="283" spans="1:13" x14ac:dyDescent="0.45">
      <c r="A283" t="s">
        <v>609</v>
      </c>
      <c r="B283" s="8">
        <v>45058</v>
      </c>
      <c r="C283" s="9">
        <v>0.56111111111111112</v>
      </c>
      <c r="D283" t="s">
        <v>610</v>
      </c>
      <c r="E283" t="s">
        <v>54</v>
      </c>
      <c r="F283">
        <v>9</v>
      </c>
      <c r="G283" t="s">
        <v>110</v>
      </c>
      <c r="H283" t="s">
        <v>26</v>
      </c>
      <c r="I283" t="s">
        <v>76</v>
      </c>
      <c r="J283">
        <v>1</v>
      </c>
      <c r="K283">
        <v>29</v>
      </c>
      <c r="L283" t="s">
        <v>55</v>
      </c>
      <c r="M283" t="s">
        <v>29</v>
      </c>
    </row>
    <row r="284" spans="1:13" x14ac:dyDescent="0.45">
      <c r="A284" t="s">
        <v>611</v>
      </c>
      <c r="B284" s="8">
        <v>45414</v>
      </c>
      <c r="C284" s="9">
        <v>0.45347222222222222</v>
      </c>
      <c r="D284" t="s">
        <v>612</v>
      </c>
      <c r="E284" t="s">
        <v>54</v>
      </c>
      <c r="F284">
        <v>40</v>
      </c>
      <c r="G284" t="s">
        <v>110</v>
      </c>
      <c r="H284" t="s">
        <v>26</v>
      </c>
      <c r="I284" t="s">
        <v>76</v>
      </c>
      <c r="J284">
        <v>0</v>
      </c>
      <c r="K284">
        <v>50</v>
      </c>
      <c r="L284" t="s">
        <v>87</v>
      </c>
      <c r="M284" t="s">
        <v>33</v>
      </c>
    </row>
    <row r="285" spans="1:13" x14ac:dyDescent="0.45">
      <c r="A285" t="s">
        <v>613</v>
      </c>
      <c r="B285" s="8">
        <v>45422</v>
      </c>
      <c r="C285" s="9">
        <v>0.10277777777777777</v>
      </c>
      <c r="D285" t="s">
        <v>614</v>
      </c>
      <c r="E285" t="s">
        <v>24</v>
      </c>
      <c r="F285">
        <v>25</v>
      </c>
      <c r="G285" t="s">
        <v>110</v>
      </c>
      <c r="H285" t="s">
        <v>26</v>
      </c>
      <c r="I285" t="s">
        <v>76</v>
      </c>
      <c r="J285">
        <v>2</v>
      </c>
      <c r="K285">
        <v>12</v>
      </c>
      <c r="L285" t="s">
        <v>58</v>
      </c>
      <c r="M285" t="s">
        <v>29</v>
      </c>
    </row>
    <row r="286" spans="1:13" x14ac:dyDescent="0.45">
      <c r="A286" t="s">
        <v>615</v>
      </c>
      <c r="B286" s="8">
        <v>45050</v>
      </c>
      <c r="C286" s="9">
        <v>0.37777777777777777</v>
      </c>
      <c r="D286" t="s">
        <v>616</v>
      </c>
      <c r="E286" t="s">
        <v>24</v>
      </c>
      <c r="F286">
        <v>23</v>
      </c>
      <c r="G286" t="s">
        <v>25</v>
      </c>
      <c r="H286" t="s">
        <v>26</v>
      </c>
      <c r="I286" t="s">
        <v>27</v>
      </c>
      <c r="J286">
        <v>0</v>
      </c>
      <c r="K286">
        <v>26</v>
      </c>
      <c r="L286" t="s">
        <v>58</v>
      </c>
      <c r="M286" t="s">
        <v>29</v>
      </c>
    </row>
    <row r="287" spans="1:13" x14ac:dyDescent="0.45">
      <c r="A287" t="s">
        <v>617</v>
      </c>
      <c r="B287" s="8">
        <v>45051</v>
      </c>
      <c r="C287" s="9">
        <v>0.80486111111111114</v>
      </c>
      <c r="D287" t="s">
        <v>618</v>
      </c>
      <c r="E287" t="s">
        <v>24</v>
      </c>
      <c r="F287">
        <v>13</v>
      </c>
      <c r="G287" t="s">
        <v>25</v>
      </c>
      <c r="H287" t="s">
        <v>26</v>
      </c>
      <c r="I287" t="s">
        <v>27</v>
      </c>
      <c r="J287">
        <v>3</v>
      </c>
      <c r="K287">
        <v>20</v>
      </c>
      <c r="L287" t="s">
        <v>32</v>
      </c>
      <c r="M287" t="s">
        <v>29</v>
      </c>
    </row>
    <row r="288" spans="1:13" x14ac:dyDescent="0.45">
      <c r="A288" t="s">
        <v>619</v>
      </c>
      <c r="B288" s="8">
        <v>45051</v>
      </c>
      <c r="C288" s="9">
        <v>0.65972222222222221</v>
      </c>
      <c r="D288" t="s">
        <v>620</v>
      </c>
      <c r="E288" t="s">
        <v>54</v>
      </c>
      <c r="F288">
        <v>60</v>
      </c>
      <c r="G288" t="s">
        <v>25</v>
      </c>
      <c r="H288" t="s">
        <v>26</v>
      </c>
      <c r="I288" t="s">
        <v>76</v>
      </c>
      <c r="J288">
        <v>2</v>
      </c>
      <c r="K288">
        <v>18</v>
      </c>
      <c r="L288" t="s">
        <v>39</v>
      </c>
      <c r="M288" t="s">
        <v>29</v>
      </c>
    </row>
    <row r="289" spans="1:13" x14ac:dyDescent="0.45">
      <c r="A289" t="s">
        <v>621</v>
      </c>
      <c r="B289" s="8">
        <v>45053</v>
      </c>
      <c r="C289" s="9">
        <v>0.62986111111111109</v>
      </c>
      <c r="D289" t="s">
        <v>622</v>
      </c>
      <c r="E289" t="s">
        <v>24</v>
      </c>
      <c r="F289">
        <v>78</v>
      </c>
      <c r="G289" t="s">
        <v>25</v>
      </c>
      <c r="H289" t="s">
        <v>26</v>
      </c>
      <c r="I289" t="s">
        <v>27</v>
      </c>
      <c r="J289">
        <v>2</v>
      </c>
      <c r="K289">
        <v>10</v>
      </c>
      <c r="L289" t="s">
        <v>67</v>
      </c>
      <c r="M289" t="s">
        <v>29</v>
      </c>
    </row>
    <row r="290" spans="1:13" x14ac:dyDescent="0.45">
      <c r="A290" t="s">
        <v>623</v>
      </c>
      <c r="B290" s="8">
        <v>45053</v>
      </c>
      <c r="C290" s="9">
        <v>0.52083333333333337</v>
      </c>
      <c r="D290" t="s">
        <v>624</v>
      </c>
      <c r="E290" t="s">
        <v>24</v>
      </c>
      <c r="F290">
        <v>50</v>
      </c>
      <c r="G290" t="s">
        <v>25</v>
      </c>
      <c r="H290" t="s">
        <v>26</v>
      </c>
      <c r="I290" t="s">
        <v>27</v>
      </c>
      <c r="J290">
        <v>2</v>
      </c>
      <c r="K290">
        <v>15</v>
      </c>
      <c r="L290" t="s">
        <v>36</v>
      </c>
      <c r="M290" t="s">
        <v>29</v>
      </c>
    </row>
    <row r="291" spans="1:13" x14ac:dyDescent="0.45">
      <c r="A291" t="s">
        <v>625</v>
      </c>
      <c r="B291" s="8">
        <v>45057</v>
      </c>
      <c r="C291" s="9">
        <v>0.47222222222222221</v>
      </c>
      <c r="D291" t="s">
        <v>626</v>
      </c>
      <c r="E291" t="s">
        <v>24</v>
      </c>
      <c r="F291">
        <v>27</v>
      </c>
      <c r="G291" t="s">
        <v>25</v>
      </c>
      <c r="H291" t="s">
        <v>26</v>
      </c>
      <c r="I291" t="s">
        <v>76</v>
      </c>
      <c r="J291">
        <v>1</v>
      </c>
      <c r="K291">
        <v>38</v>
      </c>
      <c r="L291" t="s">
        <v>58</v>
      </c>
      <c r="M291" t="s">
        <v>33</v>
      </c>
    </row>
    <row r="292" spans="1:13" x14ac:dyDescent="0.45">
      <c r="A292" t="s">
        <v>627</v>
      </c>
      <c r="B292" s="8">
        <v>45057</v>
      </c>
      <c r="C292" s="9">
        <v>0.10833333333333334</v>
      </c>
      <c r="D292" t="s">
        <v>628</v>
      </c>
      <c r="E292" t="s">
        <v>54</v>
      </c>
      <c r="F292">
        <v>50</v>
      </c>
      <c r="G292" t="s">
        <v>25</v>
      </c>
      <c r="H292" t="s">
        <v>26</v>
      </c>
      <c r="I292" t="s">
        <v>27</v>
      </c>
      <c r="J292">
        <v>4</v>
      </c>
      <c r="K292">
        <v>57</v>
      </c>
      <c r="L292" t="s">
        <v>36</v>
      </c>
      <c r="M292" t="s">
        <v>33</v>
      </c>
    </row>
    <row r="293" spans="1:13" x14ac:dyDescent="0.45">
      <c r="A293" t="s">
        <v>629</v>
      </c>
      <c r="B293" s="8">
        <v>45057</v>
      </c>
      <c r="C293" s="9">
        <v>0.30416666666666664</v>
      </c>
      <c r="D293" t="s">
        <v>630</v>
      </c>
      <c r="E293" t="s">
        <v>54</v>
      </c>
      <c r="F293">
        <v>65</v>
      </c>
      <c r="G293" t="s">
        <v>25</v>
      </c>
      <c r="H293" t="s">
        <v>26</v>
      </c>
      <c r="I293" t="s">
        <v>76</v>
      </c>
      <c r="J293">
        <v>2</v>
      </c>
      <c r="K293">
        <v>49</v>
      </c>
      <c r="L293" t="s">
        <v>28</v>
      </c>
      <c r="M293" t="s">
        <v>33</v>
      </c>
    </row>
    <row r="294" spans="1:13" x14ac:dyDescent="0.45">
      <c r="A294" t="s">
        <v>631</v>
      </c>
      <c r="B294" s="8">
        <v>45058</v>
      </c>
      <c r="C294" s="9">
        <v>0.7055555555555556</v>
      </c>
      <c r="D294" t="s">
        <v>632</v>
      </c>
      <c r="E294" t="s">
        <v>54</v>
      </c>
      <c r="F294">
        <v>27</v>
      </c>
      <c r="G294" t="s">
        <v>25</v>
      </c>
      <c r="H294" t="s">
        <v>26</v>
      </c>
      <c r="I294" t="s">
        <v>76</v>
      </c>
      <c r="J294">
        <v>4</v>
      </c>
      <c r="K294">
        <v>56</v>
      </c>
      <c r="L294" t="s">
        <v>58</v>
      </c>
      <c r="M294" t="s">
        <v>33</v>
      </c>
    </row>
    <row r="295" spans="1:13" x14ac:dyDescent="0.45">
      <c r="A295" t="s">
        <v>633</v>
      </c>
      <c r="B295" s="8">
        <v>45414</v>
      </c>
      <c r="C295" s="9">
        <v>0.91597222222222219</v>
      </c>
      <c r="D295" t="s">
        <v>634</v>
      </c>
      <c r="E295" t="s">
        <v>24</v>
      </c>
      <c r="F295">
        <v>33</v>
      </c>
      <c r="G295" t="s">
        <v>25</v>
      </c>
      <c r="H295" t="s">
        <v>26</v>
      </c>
      <c r="I295" t="s">
        <v>76</v>
      </c>
      <c r="J295">
        <v>9</v>
      </c>
      <c r="K295">
        <v>39</v>
      </c>
      <c r="L295" t="s">
        <v>87</v>
      </c>
      <c r="M295" t="s">
        <v>33</v>
      </c>
    </row>
    <row r="296" spans="1:13" x14ac:dyDescent="0.45">
      <c r="A296" t="s">
        <v>635</v>
      </c>
      <c r="B296" s="8">
        <v>45414</v>
      </c>
      <c r="C296" s="9">
        <v>0.5708333333333333</v>
      </c>
      <c r="D296" t="s">
        <v>636</v>
      </c>
      <c r="E296" t="s">
        <v>54</v>
      </c>
      <c r="F296">
        <v>3</v>
      </c>
      <c r="G296" t="s">
        <v>25</v>
      </c>
      <c r="H296" t="s">
        <v>26</v>
      </c>
      <c r="I296" t="s">
        <v>76</v>
      </c>
      <c r="J296">
        <v>7</v>
      </c>
      <c r="K296">
        <v>26</v>
      </c>
      <c r="L296" t="s">
        <v>55</v>
      </c>
      <c r="M296" t="s">
        <v>29</v>
      </c>
    </row>
    <row r="297" spans="1:13" x14ac:dyDescent="0.45">
      <c r="A297" t="s">
        <v>637</v>
      </c>
      <c r="B297" s="8">
        <v>45416</v>
      </c>
      <c r="C297" s="9">
        <v>0.96250000000000002</v>
      </c>
      <c r="D297" t="s">
        <v>638</v>
      </c>
      <c r="E297" t="s">
        <v>54</v>
      </c>
      <c r="F297">
        <v>16</v>
      </c>
      <c r="G297" t="s">
        <v>25</v>
      </c>
      <c r="H297" t="s">
        <v>26</v>
      </c>
      <c r="I297" t="s">
        <v>27</v>
      </c>
      <c r="J297">
        <v>4</v>
      </c>
      <c r="K297">
        <v>17</v>
      </c>
      <c r="L297" t="s">
        <v>32</v>
      </c>
      <c r="M297" t="s">
        <v>29</v>
      </c>
    </row>
    <row r="298" spans="1:13" x14ac:dyDescent="0.45">
      <c r="A298" t="s">
        <v>639</v>
      </c>
      <c r="B298" s="8">
        <v>45416</v>
      </c>
      <c r="C298" s="9">
        <v>0.60138888888888886</v>
      </c>
      <c r="D298" t="s">
        <v>640</v>
      </c>
      <c r="E298" t="s">
        <v>24</v>
      </c>
      <c r="F298">
        <v>2</v>
      </c>
      <c r="G298" t="s">
        <v>25</v>
      </c>
      <c r="H298" t="s">
        <v>26</v>
      </c>
      <c r="I298" t="s">
        <v>76</v>
      </c>
      <c r="J298">
        <v>2</v>
      </c>
      <c r="K298">
        <v>34</v>
      </c>
      <c r="L298" t="s">
        <v>55</v>
      </c>
      <c r="M298" t="s">
        <v>33</v>
      </c>
    </row>
    <row r="299" spans="1:13" x14ac:dyDescent="0.45">
      <c r="A299" t="s">
        <v>641</v>
      </c>
      <c r="B299" s="8">
        <v>45416</v>
      </c>
      <c r="C299" s="9">
        <v>0.24513888888888888</v>
      </c>
      <c r="D299" t="s">
        <v>642</v>
      </c>
      <c r="E299" t="s">
        <v>54</v>
      </c>
      <c r="F299">
        <v>18</v>
      </c>
      <c r="G299" t="s">
        <v>25</v>
      </c>
      <c r="H299" t="s">
        <v>26</v>
      </c>
      <c r="I299" t="s">
        <v>76</v>
      </c>
      <c r="J299">
        <v>2</v>
      </c>
      <c r="K299">
        <v>44</v>
      </c>
      <c r="L299" t="s">
        <v>32</v>
      </c>
      <c r="M299" t="s">
        <v>33</v>
      </c>
    </row>
    <row r="300" spans="1:13" x14ac:dyDescent="0.45">
      <c r="A300" t="s">
        <v>643</v>
      </c>
      <c r="B300" s="8">
        <v>45418</v>
      </c>
      <c r="C300" s="9">
        <v>0.48680555555555555</v>
      </c>
      <c r="D300" t="s">
        <v>644</v>
      </c>
      <c r="E300" t="s">
        <v>54</v>
      </c>
      <c r="F300">
        <v>49</v>
      </c>
      <c r="G300" t="s">
        <v>25</v>
      </c>
      <c r="H300" t="s">
        <v>26</v>
      </c>
      <c r="I300" t="s">
        <v>27</v>
      </c>
      <c r="J300">
        <v>3</v>
      </c>
      <c r="K300">
        <v>41</v>
      </c>
      <c r="L300" t="s">
        <v>36</v>
      </c>
      <c r="M300" t="s">
        <v>33</v>
      </c>
    </row>
    <row r="301" spans="1:13" x14ac:dyDescent="0.45">
      <c r="A301" t="s">
        <v>645</v>
      </c>
      <c r="B301" s="8">
        <v>45418</v>
      </c>
      <c r="C301" s="9">
        <v>0.89166666666666672</v>
      </c>
      <c r="D301" t="s">
        <v>646</v>
      </c>
      <c r="E301" t="s">
        <v>24</v>
      </c>
      <c r="F301">
        <v>8</v>
      </c>
      <c r="G301" t="s">
        <v>25</v>
      </c>
      <c r="H301" t="s">
        <v>26</v>
      </c>
      <c r="I301" t="s">
        <v>76</v>
      </c>
      <c r="J301">
        <v>0</v>
      </c>
      <c r="K301">
        <v>35</v>
      </c>
      <c r="L301" t="s">
        <v>55</v>
      </c>
      <c r="M301" t="s">
        <v>33</v>
      </c>
    </row>
    <row r="302" spans="1:13" x14ac:dyDescent="0.45">
      <c r="A302" t="s">
        <v>647</v>
      </c>
      <c r="B302" s="8">
        <v>45420</v>
      </c>
      <c r="C302" s="9">
        <v>0.25</v>
      </c>
      <c r="D302" t="s">
        <v>648</v>
      </c>
      <c r="E302" t="s">
        <v>24</v>
      </c>
      <c r="F302">
        <v>31</v>
      </c>
      <c r="G302" t="s">
        <v>25</v>
      </c>
      <c r="H302" t="s">
        <v>26</v>
      </c>
      <c r="I302" t="s">
        <v>27</v>
      </c>
      <c r="J302">
        <v>2</v>
      </c>
      <c r="K302">
        <v>10</v>
      </c>
      <c r="L302" t="s">
        <v>87</v>
      </c>
      <c r="M302"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6201-983B-41E8-A9AD-D5CA57C4EA28}">
  <dimension ref="A3:N80"/>
  <sheetViews>
    <sheetView topLeftCell="E60" zoomScale="89" zoomScaleNormal="93" workbookViewId="0">
      <selection activeCell="I71" sqref="I71"/>
    </sheetView>
  </sheetViews>
  <sheetFormatPr defaultRowHeight="14.25" x14ac:dyDescent="0.45"/>
  <cols>
    <col min="1" max="1" width="16.46484375" customWidth="1"/>
    <col min="2" max="2" width="8.796875" customWidth="1"/>
    <col min="3" max="3" width="11.265625" customWidth="1"/>
    <col min="4" max="4" width="27.6640625" customWidth="1"/>
    <col min="5" max="5" width="26.3984375" customWidth="1"/>
    <col min="6" max="6" width="20" customWidth="1"/>
    <col min="8" max="8" width="26.46484375" customWidth="1"/>
    <col min="9" max="9" width="22.9296875" customWidth="1"/>
    <col min="13" max="13" width="29.06640625" customWidth="1"/>
    <col min="14" max="14" width="33.46484375" customWidth="1"/>
  </cols>
  <sheetData>
    <row r="3" spans="1:14" x14ac:dyDescent="0.45">
      <c r="A3" t="s">
        <v>1</v>
      </c>
    </row>
    <row r="4" spans="1:14" x14ac:dyDescent="0.45">
      <c r="A4" t="s">
        <v>0</v>
      </c>
    </row>
    <row r="5" spans="1:14" x14ac:dyDescent="0.45">
      <c r="A5">
        <v>129</v>
      </c>
    </row>
    <row r="8" spans="1:14" x14ac:dyDescent="0.45">
      <c r="M8" t="s">
        <v>652</v>
      </c>
    </row>
    <row r="9" spans="1:14" x14ac:dyDescent="0.45">
      <c r="A9" t="s">
        <v>2</v>
      </c>
      <c r="D9" t="s">
        <v>7</v>
      </c>
      <c r="H9" t="s">
        <v>8</v>
      </c>
      <c r="M9" s="1" t="s">
        <v>4</v>
      </c>
      <c r="N9" t="s">
        <v>3</v>
      </c>
    </row>
    <row r="10" spans="1:14" x14ac:dyDescent="0.45">
      <c r="A10" s="2">
        <v>33.844961240310077</v>
      </c>
      <c r="D10" s="1" t="s">
        <v>4</v>
      </c>
      <c r="E10" t="s">
        <v>0</v>
      </c>
      <c r="H10" s="1" t="s">
        <v>4</v>
      </c>
      <c r="I10" t="s">
        <v>2</v>
      </c>
      <c r="M10" s="4">
        <v>44961</v>
      </c>
      <c r="N10" s="2">
        <v>7.75</v>
      </c>
    </row>
    <row r="11" spans="1:14" x14ac:dyDescent="0.45">
      <c r="D11" s="4">
        <v>44961</v>
      </c>
      <c r="E11">
        <v>13</v>
      </c>
      <c r="H11" s="4">
        <v>44961</v>
      </c>
      <c r="I11" s="2">
        <v>29.46153846153846</v>
      </c>
      <c r="M11" s="4">
        <v>44962</v>
      </c>
      <c r="N11" s="2">
        <v>3.3333333333333335</v>
      </c>
    </row>
    <row r="12" spans="1:14" x14ac:dyDescent="0.45">
      <c r="D12" s="4">
        <v>44962</v>
      </c>
      <c r="E12">
        <v>16</v>
      </c>
      <c r="H12" s="4">
        <v>44962</v>
      </c>
      <c r="I12" s="2">
        <v>34.25</v>
      </c>
      <c r="M12" s="4">
        <v>44963</v>
      </c>
      <c r="N12" s="2">
        <v>5.333333333333333</v>
      </c>
    </row>
    <row r="13" spans="1:14" x14ac:dyDescent="0.45">
      <c r="D13" s="4">
        <v>44963</v>
      </c>
      <c r="E13">
        <v>17</v>
      </c>
      <c r="H13" s="4">
        <v>44963</v>
      </c>
      <c r="I13" s="2">
        <v>34.941176470588232</v>
      </c>
      <c r="M13" s="4">
        <v>44964</v>
      </c>
      <c r="N13" s="2">
        <v>6.5</v>
      </c>
    </row>
    <row r="14" spans="1:14" x14ac:dyDescent="0.45">
      <c r="D14" s="4">
        <v>44964</v>
      </c>
      <c r="E14">
        <v>9</v>
      </c>
      <c r="H14" s="4">
        <v>44964</v>
      </c>
      <c r="I14" s="2">
        <v>32.444444444444443</v>
      </c>
      <c r="M14" s="4">
        <v>44965</v>
      </c>
      <c r="N14" s="2">
        <v>4</v>
      </c>
    </row>
    <row r="15" spans="1:14" x14ac:dyDescent="0.45">
      <c r="A15" t="s">
        <v>3</v>
      </c>
      <c r="D15" s="4">
        <v>44965</v>
      </c>
      <c r="E15">
        <v>15</v>
      </c>
      <c r="H15" s="4">
        <v>44965</v>
      </c>
      <c r="I15" s="2">
        <v>38.533333333333331</v>
      </c>
      <c r="M15" s="4">
        <v>44966</v>
      </c>
      <c r="N15" s="2">
        <v>5.8</v>
      </c>
    </row>
    <row r="16" spans="1:14" x14ac:dyDescent="0.45">
      <c r="A16" s="2">
        <v>4.9047619047619051</v>
      </c>
      <c r="D16" s="4">
        <v>44966</v>
      </c>
      <c r="E16">
        <v>18</v>
      </c>
      <c r="H16" s="4">
        <v>44966</v>
      </c>
      <c r="I16" s="2">
        <v>34.777777777777779</v>
      </c>
      <c r="M16" s="4">
        <v>44967</v>
      </c>
      <c r="N16" s="2">
        <v>3.8</v>
      </c>
    </row>
    <row r="17" spans="4:14" x14ac:dyDescent="0.45">
      <c r="D17" s="4">
        <v>44967</v>
      </c>
      <c r="E17">
        <v>14</v>
      </c>
      <c r="H17" s="4">
        <v>44967</v>
      </c>
      <c r="I17" s="2">
        <v>33.357142857142854</v>
      </c>
      <c r="M17" s="4">
        <v>44968</v>
      </c>
      <c r="N17" s="2">
        <v>4.666666666666667</v>
      </c>
    </row>
    <row r="18" spans="4:14" x14ac:dyDescent="0.45">
      <c r="D18" s="4">
        <v>44968</v>
      </c>
      <c r="E18">
        <v>12</v>
      </c>
      <c r="H18" s="4">
        <v>44968</v>
      </c>
      <c r="I18" s="2">
        <v>28.916666666666668</v>
      </c>
      <c r="M18" s="4">
        <v>44969</v>
      </c>
      <c r="N18" s="2">
        <v>4.4000000000000004</v>
      </c>
    </row>
    <row r="19" spans="4:14" x14ac:dyDescent="0.45">
      <c r="D19" s="4">
        <v>44969</v>
      </c>
      <c r="E19">
        <v>15</v>
      </c>
      <c r="H19" s="4">
        <v>44969</v>
      </c>
      <c r="I19" s="2">
        <v>35.4</v>
      </c>
      <c r="M19" s="5" t="s">
        <v>5</v>
      </c>
      <c r="N19">
        <v>4.9047619047619051</v>
      </c>
    </row>
    <row r="20" spans="4:14" x14ac:dyDescent="0.45">
      <c r="D20" s="5" t="s">
        <v>5</v>
      </c>
      <c r="E20">
        <v>129</v>
      </c>
      <c r="H20" s="5" t="s">
        <v>5</v>
      </c>
      <c r="I20">
        <v>33.844961240310077</v>
      </c>
    </row>
    <row r="36" spans="1:6" x14ac:dyDescent="0.45">
      <c r="A36" s="1" t="s">
        <v>4</v>
      </c>
      <c r="B36" t="s">
        <v>653</v>
      </c>
      <c r="C36" t="s">
        <v>654</v>
      </c>
    </row>
    <row r="37" spans="1:6" x14ac:dyDescent="0.45">
      <c r="A37" s="5" t="s">
        <v>27</v>
      </c>
      <c r="B37" s="13">
        <v>64</v>
      </c>
      <c r="C37" s="14">
        <v>0.49612403100775193</v>
      </c>
    </row>
    <row r="38" spans="1:6" x14ac:dyDescent="0.45">
      <c r="A38" s="5" t="s">
        <v>76</v>
      </c>
      <c r="B38" s="13">
        <v>65</v>
      </c>
      <c r="C38" s="14">
        <v>0.50387596899224807</v>
      </c>
    </row>
    <row r="39" spans="1:6" x14ac:dyDescent="0.45">
      <c r="A39" s="5" t="s">
        <v>5</v>
      </c>
      <c r="B39" s="2">
        <v>129</v>
      </c>
      <c r="C39" s="14">
        <v>1</v>
      </c>
      <c r="E39" t="s">
        <v>659</v>
      </c>
    </row>
    <row r="40" spans="1:6" x14ac:dyDescent="0.45">
      <c r="E40" s="1" t="s">
        <v>4</v>
      </c>
      <c r="F40" t="s">
        <v>658</v>
      </c>
    </row>
    <row r="41" spans="1:6" x14ac:dyDescent="0.45">
      <c r="E41" s="5" t="s">
        <v>55</v>
      </c>
      <c r="F41" s="2">
        <v>13</v>
      </c>
    </row>
    <row r="42" spans="1:6" x14ac:dyDescent="0.45">
      <c r="E42" s="5" t="s">
        <v>32</v>
      </c>
      <c r="F42" s="2">
        <v>16</v>
      </c>
    </row>
    <row r="43" spans="1:6" x14ac:dyDescent="0.45">
      <c r="A43" s="17" t="s">
        <v>655</v>
      </c>
      <c r="B43" s="18" t="s">
        <v>657</v>
      </c>
      <c r="C43" s="18" t="s">
        <v>656</v>
      </c>
      <c r="D43" s="19"/>
      <c r="E43" s="5" t="s">
        <v>58</v>
      </c>
      <c r="F43" s="2">
        <v>20</v>
      </c>
    </row>
    <row r="44" spans="1:6" x14ac:dyDescent="0.45">
      <c r="A44" s="15" t="str">
        <f>A37</f>
        <v>Admitted</v>
      </c>
      <c r="B44" s="15">
        <f t="shared" ref="B44:C44" si="0">B37</f>
        <v>64</v>
      </c>
      <c r="C44" s="16">
        <f t="shared" si="0"/>
        <v>0.49612403100775193</v>
      </c>
      <c r="D44" s="15"/>
      <c r="E44" s="5" t="s">
        <v>87</v>
      </c>
      <c r="F44" s="2">
        <v>14</v>
      </c>
    </row>
    <row r="45" spans="1:6" x14ac:dyDescent="0.45">
      <c r="A45" s="15" t="str">
        <f>A38</f>
        <v>Not Admitted</v>
      </c>
      <c r="B45" s="15">
        <f t="shared" ref="B45:C45" si="1">B38</f>
        <v>65</v>
      </c>
      <c r="C45" s="16">
        <f t="shared" si="1"/>
        <v>0.50387596899224807</v>
      </c>
      <c r="D45" s="15"/>
      <c r="E45" s="5" t="s">
        <v>36</v>
      </c>
      <c r="F45" s="2">
        <v>20</v>
      </c>
    </row>
    <row r="46" spans="1:6" x14ac:dyDescent="0.45">
      <c r="A46" s="15"/>
      <c r="B46" s="15"/>
      <c r="C46" s="15"/>
      <c r="D46" s="15"/>
      <c r="E46" s="5" t="s">
        <v>39</v>
      </c>
      <c r="F46" s="2">
        <v>16</v>
      </c>
    </row>
    <row r="47" spans="1:6" x14ac:dyDescent="0.45">
      <c r="A47" s="15"/>
      <c r="B47" s="15"/>
      <c r="C47" s="15"/>
      <c r="D47" s="15"/>
      <c r="E47" s="5" t="s">
        <v>28</v>
      </c>
      <c r="F47" s="2">
        <v>15</v>
      </c>
    </row>
    <row r="48" spans="1:6" x14ac:dyDescent="0.45">
      <c r="E48" s="5" t="s">
        <v>67</v>
      </c>
      <c r="F48" s="2">
        <v>15</v>
      </c>
    </row>
    <row r="49" spans="3:6" x14ac:dyDescent="0.45">
      <c r="E49" s="5" t="s">
        <v>5</v>
      </c>
      <c r="F49" s="2">
        <v>129</v>
      </c>
    </row>
    <row r="55" spans="3:6" x14ac:dyDescent="0.45">
      <c r="E55" s="1" t="s">
        <v>4</v>
      </c>
      <c r="F55" t="s">
        <v>660</v>
      </c>
    </row>
    <row r="56" spans="3:6" x14ac:dyDescent="0.45">
      <c r="E56" s="5" t="s">
        <v>33</v>
      </c>
      <c r="F56" s="13">
        <v>77</v>
      </c>
    </row>
    <row r="57" spans="3:6" x14ac:dyDescent="0.45">
      <c r="C57" s="20"/>
      <c r="E57" s="5" t="s">
        <v>29</v>
      </c>
      <c r="F57" s="13">
        <v>52</v>
      </c>
    </row>
    <row r="58" spans="3:6" x14ac:dyDescent="0.45">
      <c r="E58" s="5" t="s">
        <v>5</v>
      </c>
      <c r="F58" s="2">
        <v>129</v>
      </c>
    </row>
    <row r="63" spans="3:6" x14ac:dyDescent="0.45">
      <c r="E63" s="1" t="s">
        <v>4</v>
      </c>
      <c r="F63" t="s">
        <v>661</v>
      </c>
    </row>
    <row r="64" spans="3:6" x14ac:dyDescent="0.45">
      <c r="E64" s="5" t="s">
        <v>54</v>
      </c>
      <c r="F64" s="2">
        <v>59</v>
      </c>
    </row>
    <row r="65" spans="5:9" x14ac:dyDescent="0.45">
      <c r="E65" s="5" t="s">
        <v>24</v>
      </c>
      <c r="F65" s="2">
        <v>70</v>
      </c>
    </row>
    <row r="66" spans="5:9" x14ac:dyDescent="0.45">
      <c r="E66" s="5" t="s">
        <v>5</v>
      </c>
      <c r="F66" s="2">
        <v>129</v>
      </c>
    </row>
    <row r="71" spans="5:9" x14ac:dyDescent="0.45">
      <c r="E71" s="1" t="s">
        <v>4</v>
      </c>
      <c r="F71" t="s">
        <v>662</v>
      </c>
      <c r="I71" s="1" t="s">
        <v>4</v>
      </c>
    </row>
    <row r="72" spans="5:9" x14ac:dyDescent="0.45">
      <c r="E72" s="5" t="s">
        <v>462</v>
      </c>
      <c r="F72" s="13">
        <v>2</v>
      </c>
      <c r="I72" s="5" t="s">
        <v>6</v>
      </c>
    </row>
    <row r="73" spans="5:9" x14ac:dyDescent="0.45">
      <c r="E73" s="5" t="s">
        <v>435</v>
      </c>
      <c r="F73" s="13">
        <v>2</v>
      </c>
      <c r="I73" s="5" t="s">
        <v>5</v>
      </c>
    </row>
    <row r="74" spans="5:9" x14ac:dyDescent="0.45">
      <c r="E74" s="5" t="s">
        <v>447</v>
      </c>
      <c r="F74" s="13">
        <v>3</v>
      </c>
    </row>
    <row r="75" spans="5:9" x14ac:dyDescent="0.45">
      <c r="E75" s="5" t="s">
        <v>422</v>
      </c>
      <c r="F75" s="13">
        <v>5</v>
      </c>
    </row>
    <row r="76" spans="5:9" x14ac:dyDescent="0.45">
      <c r="E76" s="5" t="s">
        <v>444</v>
      </c>
      <c r="F76" s="13">
        <v>6</v>
      </c>
    </row>
    <row r="77" spans="5:9" x14ac:dyDescent="0.45">
      <c r="E77" s="5" t="s">
        <v>387</v>
      </c>
      <c r="F77" s="13">
        <v>11</v>
      </c>
    </row>
    <row r="78" spans="5:9" x14ac:dyDescent="0.45">
      <c r="E78" s="5" t="s">
        <v>294</v>
      </c>
      <c r="F78" s="13">
        <v>27</v>
      </c>
    </row>
    <row r="79" spans="5:9" x14ac:dyDescent="0.45">
      <c r="E79" s="5" t="s">
        <v>26</v>
      </c>
      <c r="F79" s="13">
        <v>73</v>
      </c>
    </row>
    <row r="80" spans="5:9" x14ac:dyDescent="0.45">
      <c r="E80" s="5" t="s">
        <v>5</v>
      </c>
      <c r="F80" s="2">
        <v>129</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7C8E-DA86-4E95-8EBB-EA5C9FB4D1F1}">
  <dimension ref="A1:K28"/>
  <sheetViews>
    <sheetView workbookViewId="0"/>
  </sheetViews>
  <sheetFormatPr defaultRowHeight="14.25" x14ac:dyDescent="0.45"/>
  <sheetData>
    <row r="1" spans="1:11" x14ac:dyDescent="0.45">
      <c r="A1" s="6"/>
      <c r="B1" s="6"/>
      <c r="C1" s="6"/>
      <c r="D1" s="6"/>
      <c r="E1" s="6"/>
      <c r="F1" s="6"/>
      <c r="G1" s="6"/>
      <c r="H1" s="6"/>
      <c r="I1" s="6"/>
      <c r="J1" s="6"/>
      <c r="K1" s="6"/>
    </row>
    <row r="2" spans="1:11" x14ac:dyDescent="0.45">
      <c r="A2" s="6"/>
      <c r="B2" s="6"/>
      <c r="C2" s="6"/>
      <c r="D2" s="6"/>
      <c r="E2" s="6"/>
      <c r="F2" s="6"/>
      <c r="G2" s="6"/>
      <c r="H2" s="6"/>
      <c r="I2" s="6"/>
      <c r="J2" s="6"/>
      <c r="K2" s="6"/>
    </row>
    <row r="3" spans="1:11" x14ac:dyDescent="0.45">
      <c r="A3" s="6"/>
      <c r="B3" s="6"/>
      <c r="C3" s="6"/>
      <c r="D3" s="6"/>
      <c r="E3" s="6"/>
      <c r="F3" s="6"/>
      <c r="G3" s="6"/>
      <c r="H3" s="6"/>
      <c r="I3" s="6"/>
      <c r="J3" s="6"/>
      <c r="K3" s="6"/>
    </row>
    <row r="4" spans="1:11" x14ac:dyDescent="0.45">
      <c r="A4" s="6"/>
      <c r="B4" s="6"/>
      <c r="C4" s="6"/>
      <c r="D4" s="6"/>
      <c r="E4" s="6"/>
      <c r="F4" s="6"/>
      <c r="G4" s="6"/>
      <c r="H4" s="6"/>
      <c r="I4" s="6"/>
      <c r="J4" s="6"/>
      <c r="K4" s="6"/>
    </row>
    <row r="5" spans="1:11" x14ac:dyDescent="0.45">
      <c r="A5" s="6"/>
      <c r="B5" s="6"/>
      <c r="C5" s="6"/>
      <c r="D5" s="6"/>
      <c r="E5" s="6"/>
      <c r="F5" s="6"/>
      <c r="G5" s="6"/>
      <c r="H5" s="6"/>
      <c r="I5" s="6"/>
      <c r="J5" s="6"/>
      <c r="K5" s="6"/>
    </row>
    <row r="6" spans="1:11" x14ac:dyDescent="0.45">
      <c r="A6" s="6"/>
      <c r="B6" s="6"/>
      <c r="C6" s="6"/>
      <c r="D6" s="6"/>
      <c r="E6" s="6"/>
      <c r="F6" s="6"/>
      <c r="G6" s="6"/>
      <c r="H6" s="6"/>
      <c r="I6" s="6"/>
      <c r="J6" s="6"/>
      <c r="K6" s="6"/>
    </row>
    <row r="7" spans="1:11" x14ac:dyDescent="0.45">
      <c r="A7" s="6"/>
      <c r="B7" s="6"/>
      <c r="C7" s="6"/>
      <c r="D7" s="6"/>
      <c r="E7" s="6"/>
      <c r="F7" s="6"/>
      <c r="G7" s="6"/>
      <c r="H7" s="6"/>
      <c r="I7" s="6"/>
      <c r="J7" s="6"/>
      <c r="K7" s="6"/>
    </row>
    <row r="8" spans="1:11" x14ac:dyDescent="0.45">
      <c r="A8" s="6"/>
      <c r="B8" s="6"/>
      <c r="C8" s="6"/>
      <c r="D8" s="6"/>
      <c r="E8" s="6"/>
      <c r="F8" s="6"/>
      <c r="G8" s="6"/>
      <c r="H8" s="6"/>
      <c r="I8" s="6"/>
      <c r="J8" s="6"/>
      <c r="K8" s="6"/>
    </row>
    <row r="9" spans="1:11" x14ac:dyDescent="0.45">
      <c r="A9" s="6"/>
      <c r="B9" s="6"/>
      <c r="C9" s="6"/>
      <c r="D9" s="6"/>
      <c r="E9" s="6"/>
      <c r="F9" s="6"/>
      <c r="G9" s="6"/>
      <c r="H9" s="6"/>
      <c r="I9" s="6"/>
      <c r="J9" s="6"/>
      <c r="K9" s="6"/>
    </row>
    <row r="10" spans="1:11" x14ac:dyDescent="0.45">
      <c r="A10" s="6"/>
      <c r="B10" s="6"/>
      <c r="C10" s="6"/>
      <c r="D10" s="6"/>
      <c r="E10" s="6"/>
      <c r="F10" s="6"/>
      <c r="G10" s="6"/>
      <c r="H10" s="6"/>
      <c r="I10" s="6"/>
      <c r="J10" s="6"/>
      <c r="K10" s="6"/>
    </row>
    <row r="11" spans="1:11" x14ac:dyDescent="0.45">
      <c r="A11" s="6"/>
      <c r="B11" s="6"/>
      <c r="C11" s="6"/>
      <c r="D11" s="6"/>
      <c r="E11" s="6"/>
      <c r="F11" s="6"/>
      <c r="G11" s="6"/>
      <c r="H11" s="6"/>
      <c r="I11" s="6"/>
      <c r="J11" s="6"/>
      <c r="K11" s="6"/>
    </row>
    <row r="12" spans="1:11" x14ac:dyDescent="0.45">
      <c r="A12" s="6"/>
      <c r="B12" s="6"/>
      <c r="C12" s="6"/>
      <c r="D12" s="6"/>
      <c r="E12" s="6"/>
      <c r="F12" s="6"/>
      <c r="G12" s="6"/>
      <c r="H12" s="6"/>
      <c r="I12" s="6"/>
      <c r="J12" s="6"/>
      <c r="K12" s="6"/>
    </row>
    <row r="13" spans="1:11" x14ac:dyDescent="0.45">
      <c r="A13" s="6"/>
      <c r="B13" s="6"/>
      <c r="C13" s="6"/>
      <c r="D13" s="6"/>
      <c r="E13" s="6"/>
      <c r="F13" s="6"/>
      <c r="G13" s="6"/>
      <c r="H13" s="6"/>
      <c r="I13" s="6"/>
      <c r="J13" s="6"/>
      <c r="K13" s="6"/>
    </row>
    <row r="14" spans="1:11" x14ac:dyDescent="0.45">
      <c r="A14" s="6"/>
      <c r="B14" s="6"/>
      <c r="C14" s="6"/>
      <c r="D14" s="6"/>
      <c r="E14" s="6"/>
      <c r="F14" s="6"/>
      <c r="G14" s="6"/>
      <c r="H14" s="6"/>
      <c r="I14" s="6"/>
      <c r="J14" s="6"/>
      <c r="K14" s="6"/>
    </row>
    <row r="15" spans="1:11" x14ac:dyDescent="0.45">
      <c r="A15" s="6"/>
      <c r="B15" s="6"/>
      <c r="C15" s="6"/>
      <c r="D15" s="6"/>
      <c r="E15" s="6"/>
      <c r="F15" s="6"/>
      <c r="G15" s="6"/>
      <c r="H15" s="6"/>
      <c r="I15" s="6"/>
      <c r="J15" s="6"/>
      <c r="K15" s="6"/>
    </row>
    <row r="16" spans="1:11" x14ac:dyDescent="0.45">
      <c r="A16" s="6"/>
      <c r="B16" s="6"/>
      <c r="C16" s="6"/>
      <c r="D16" s="6"/>
      <c r="E16" s="6"/>
      <c r="F16" s="6"/>
      <c r="G16" s="6"/>
      <c r="H16" s="6"/>
      <c r="I16" s="6"/>
      <c r="J16" s="6"/>
      <c r="K16" s="6"/>
    </row>
    <row r="17" spans="1:11" x14ac:dyDescent="0.45">
      <c r="A17" s="6"/>
      <c r="B17" s="6"/>
      <c r="C17" s="6"/>
      <c r="D17" s="6"/>
      <c r="E17" s="6"/>
      <c r="F17" s="6"/>
      <c r="G17" s="6"/>
      <c r="H17" s="6"/>
      <c r="I17" s="6"/>
      <c r="J17" s="6"/>
      <c r="K17" s="6"/>
    </row>
    <row r="18" spans="1:11" x14ac:dyDescent="0.45">
      <c r="A18" s="6"/>
      <c r="B18" s="6"/>
      <c r="C18" s="6"/>
      <c r="D18" s="6"/>
      <c r="E18" s="6"/>
      <c r="F18" s="6"/>
      <c r="G18" s="6"/>
      <c r="H18" s="6"/>
      <c r="I18" s="6"/>
      <c r="J18" s="6"/>
      <c r="K18" s="6"/>
    </row>
    <row r="19" spans="1:11" x14ac:dyDescent="0.45">
      <c r="A19" s="6"/>
      <c r="B19" s="6"/>
      <c r="C19" s="6"/>
      <c r="D19" s="6"/>
      <c r="E19" s="6"/>
      <c r="F19" s="6"/>
      <c r="G19" s="6"/>
      <c r="H19" s="6"/>
      <c r="I19" s="6"/>
      <c r="J19" s="6"/>
      <c r="K19" s="6"/>
    </row>
    <row r="20" spans="1:11" x14ac:dyDescent="0.45">
      <c r="A20" s="6"/>
      <c r="B20" s="6"/>
      <c r="C20" s="6"/>
      <c r="D20" s="6"/>
      <c r="E20" s="6"/>
      <c r="F20" s="6"/>
      <c r="G20" s="6"/>
      <c r="H20" s="6"/>
      <c r="I20" s="6"/>
      <c r="J20" s="6"/>
      <c r="K20" s="6"/>
    </row>
    <row r="21" spans="1:11" x14ac:dyDescent="0.45">
      <c r="A21" s="6"/>
      <c r="B21" s="6"/>
      <c r="C21" s="6"/>
      <c r="D21" s="6"/>
      <c r="E21" s="6"/>
      <c r="F21" s="6"/>
      <c r="G21" s="6"/>
      <c r="H21" s="6"/>
      <c r="I21" s="6"/>
      <c r="J21" s="6"/>
      <c r="K21" s="6"/>
    </row>
    <row r="22" spans="1:11" x14ac:dyDescent="0.45">
      <c r="A22" s="6"/>
      <c r="B22" s="6"/>
      <c r="C22" s="6"/>
      <c r="D22" s="6"/>
      <c r="E22" s="6"/>
      <c r="F22" s="6"/>
      <c r="G22" s="6"/>
      <c r="H22" s="6"/>
      <c r="I22" s="6"/>
      <c r="J22" s="6"/>
      <c r="K22" s="6"/>
    </row>
    <row r="23" spans="1:11" x14ac:dyDescent="0.45">
      <c r="A23" s="6"/>
      <c r="B23" s="6"/>
      <c r="C23" s="6"/>
      <c r="D23" s="6"/>
      <c r="E23" s="6"/>
      <c r="F23" s="6"/>
      <c r="G23" s="6"/>
      <c r="H23" s="6"/>
      <c r="I23" s="7"/>
      <c r="J23" s="6"/>
      <c r="K23" s="6"/>
    </row>
    <row r="24" spans="1:11" x14ac:dyDescent="0.45">
      <c r="A24" s="6"/>
      <c r="B24" s="6"/>
      <c r="C24" s="6"/>
      <c r="D24" s="6"/>
      <c r="E24" s="6"/>
      <c r="F24" s="6"/>
      <c r="G24" s="6"/>
      <c r="H24" s="6"/>
      <c r="I24" s="6"/>
      <c r="J24" s="6"/>
      <c r="K24" s="6"/>
    </row>
    <row r="25" spans="1:11" x14ac:dyDescent="0.45">
      <c r="A25" s="6"/>
      <c r="B25" s="6"/>
      <c r="C25" s="6"/>
      <c r="D25" s="6"/>
      <c r="E25" s="6"/>
      <c r="F25" s="6"/>
      <c r="G25" s="6"/>
      <c r="H25" s="6"/>
      <c r="I25" s="6"/>
      <c r="J25" s="6"/>
      <c r="K25" s="6"/>
    </row>
    <row r="26" spans="1:11" x14ac:dyDescent="0.45">
      <c r="A26" s="6"/>
      <c r="B26" s="6"/>
      <c r="C26" s="6"/>
      <c r="D26" s="6"/>
      <c r="E26" s="6"/>
      <c r="F26" s="6"/>
      <c r="G26" s="6"/>
      <c r="H26" s="6"/>
      <c r="I26" s="6"/>
      <c r="J26" s="6"/>
      <c r="K26" s="6"/>
    </row>
    <row r="27" spans="1:11" x14ac:dyDescent="0.45">
      <c r="A27" s="6"/>
      <c r="B27" s="6"/>
      <c r="C27" s="6"/>
      <c r="D27" s="6"/>
      <c r="E27" s="6"/>
      <c r="F27" s="6"/>
      <c r="G27" s="6"/>
      <c r="H27" s="6"/>
      <c r="I27" s="6"/>
      <c r="J27" s="6"/>
      <c r="K27" s="6"/>
    </row>
    <row r="28" spans="1:11" x14ac:dyDescent="0.45">
      <c r="A28" s="6"/>
      <c r="B28" s="6"/>
      <c r="C28" s="6"/>
      <c r="D28" s="6"/>
      <c r="E28" s="6"/>
      <c r="F28" s="6"/>
      <c r="G28" s="6"/>
      <c r="H28" s="6"/>
      <c r="I28" s="6"/>
      <c r="J28" s="6"/>
      <c r="K2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BB34-12E3-4C64-9123-1EED1E091C39}">
  <dimension ref="A1"/>
  <sheetViews>
    <sheetView tabSelected="1" zoomScale="141" zoomScaleNormal="142" workbookViewId="0">
      <selection activeCell="R17" sqref="R17"/>
    </sheetView>
  </sheetViews>
  <sheetFormatPr defaultRowHeight="14.25" x14ac:dyDescent="0.45"/>
  <cols>
    <col min="1" max="16384" width="9.06640625" style="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536B8-2566-4E29-A2EC-B26BA9563948}">
  <dimension ref="A1"/>
  <sheetViews>
    <sheetView zoomScale="159" workbookViewId="0"/>
  </sheetViews>
  <sheetFormatPr defaultRowHeight="14.25" x14ac:dyDescent="0.45"/>
  <cols>
    <col min="1" max="16384" width="9.06640625" style="1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03F0-F023-4981-B2A0-5E51F5DB430A}">
  <dimension ref="B23:U56"/>
  <sheetViews>
    <sheetView topLeftCell="R25" zoomScale="71" zoomScaleNormal="130" workbookViewId="0">
      <selection activeCell="Z28" sqref="A1:XFD1048576"/>
    </sheetView>
  </sheetViews>
  <sheetFormatPr defaultRowHeight="14.25" x14ac:dyDescent="0.45"/>
  <cols>
    <col min="1" max="16384" width="9.06640625" style="11"/>
  </cols>
  <sheetData>
    <row r="23" spans="2:2" ht="21" x14ac:dyDescent="0.55000000000000004">
      <c r="B23" s="12" t="s">
        <v>650</v>
      </c>
    </row>
    <row r="53" spans="3:21" ht="21" x14ac:dyDescent="0.55000000000000004">
      <c r="U53" s="12" t="s">
        <v>651</v>
      </c>
    </row>
    <row r="56" spans="3:21" ht="21" x14ac:dyDescent="0.55000000000000004">
      <c r="C56" s="1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19FBB6D-FDCA-4F91-952C-58D941F0BD8B}">
  <ds:schemaRefs/>
</ds:datastoreItem>
</file>

<file path=customXml/itemProps2.xml><?xml version="1.0" encoding="utf-8"?>
<ds:datastoreItem xmlns:ds="http://schemas.openxmlformats.org/officeDocument/2006/customXml" ds:itemID="{D85D0137-D20A-49CB-9A67-7C241467048C}">
  <ds:schemaRefs/>
</ds:datastoreItem>
</file>

<file path=customXml/itemProps3.xml><?xml version="1.0" encoding="utf-8"?>
<ds:datastoreItem xmlns:ds="http://schemas.openxmlformats.org/officeDocument/2006/customXml" ds:itemID="{FD16F47D-5AFC-43FD-A02D-916914D134E9}">
  <ds:schemaRefs>
    <ds:schemaRef ds:uri="http://schemas.microsoft.com/DataMashup"/>
  </ds:schemaRefs>
</ds:datastoreItem>
</file>

<file path=customXml/itemProps4.xml><?xml version="1.0" encoding="utf-8"?>
<ds:datastoreItem xmlns:ds="http://schemas.openxmlformats.org/officeDocument/2006/customXml" ds:itemID="{65C12614-6EB0-4F98-82A5-A4CA5043CAC2}">
  <ds:schemaRefs/>
</ds:datastoreItem>
</file>

<file path=customXml/itemProps5.xml><?xml version="1.0" encoding="utf-8"?>
<ds:datastoreItem xmlns:ds="http://schemas.openxmlformats.org/officeDocument/2006/customXml" ds:itemID="{446F1864-EED2-4C95-A380-73B360BA162D}">
  <ds:schemaRefs/>
</ds:datastoreItem>
</file>

<file path=customXml/itemProps6.xml><?xml version="1.0" encoding="utf-8"?>
<ds:datastoreItem xmlns:ds="http://schemas.openxmlformats.org/officeDocument/2006/customXml" ds:itemID="{57F5DE60-462C-4357-90C2-4385116C23E3}">
  <ds:schemaRefs/>
</ds:datastoreItem>
</file>

<file path=customXml/itemProps7.xml><?xml version="1.0" encoding="utf-8"?>
<ds:datastoreItem xmlns:ds="http://schemas.openxmlformats.org/officeDocument/2006/customXml" ds:itemID="{0ADCA908-FAB2-46C4-80DA-8518B6086316}">
  <ds:schemaRefs/>
</ds:datastoreItem>
</file>

<file path=customXml/itemProps8.xml><?xml version="1.0" encoding="utf-8"?>
<ds:datastoreItem xmlns:ds="http://schemas.openxmlformats.org/officeDocument/2006/customXml" ds:itemID="{4D0BF017-AAAA-41A7-96BB-61AD14F0A3E2}">
  <ds:schemaRefs/>
</ds:datastoreItem>
</file>

<file path=customXml/itemProps9.xml><?xml version="1.0" encoding="utf-8"?>
<ds:datastoreItem xmlns:ds="http://schemas.openxmlformats.org/officeDocument/2006/customXml" ds:itemID="{334BF6A2-108F-4AA5-9707-9CCDA266C1FB}">
  <ds:schemaRefs/>
</ds:datastoreItem>
</file>

<file path=customXml/itemProps10.xml><?xml version="1.0" encoding="utf-8"?>
<ds:datastoreItem xmlns:ds="http://schemas.openxmlformats.org/officeDocument/2006/customXml" ds:itemID="{009CF50C-3511-41F7-ABE7-7F3B1D8D3085}">
  <ds:schemaRefs/>
</ds:datastoreItem>
</file>

<file path=customXml/itemProps11.xml><?xml version="1.0" encoding="utf-8"?>
<ds:datastoreItem xmlns:ds="http://schemas.openxmlformats.org/officeDocument/2006/customXml" ds:itemID="{C7599344-123C-4C7F-9E5A-980F261925CF}">
  <ds:schemaRefs/>
</ds:datastoreItem>
</file>

<file path=customXml/itemProps12.xml><?xml version="1.0" encoding="utf-8"?>
<ds:datastoreItem xmlns:ds="http://schemas.openxmlformats.org/officeDocument/2006/customXml" ds:itemID="{B01F54C7-029B-4DCE-A5A9-3D57D3A0D293}">
  <ds:schemaRefs/>
</ds:datastoreItem>
</file>

<file path=customXml/itemProps13.xml><?xml version="1.0" encoding="utf-8"?>
<ds:datastoreItem xmlns:ds="http://schemas.openxmlformats.org/officeDocument/2006/customXml" ds:itemID="{B3E722D8-9087-42D6-93FE-7E01B816FB5B}">
  <ds:schemaRefs/>
</ds:datastoreItem>
</file>

<file path=customXml/itemProps14.xml><?xml version="1.0" encoding="utf-8"?>
<ds:datastoreItem xmlns:ds="http://schemas.openxmlformats.org/officeDocument/2006/customXml" ds:itemID="{9F9DCAA1-2324-4ED0-975E-C23EC7E53F37}">
  <ds:schemaRefs/>
</ds:datastoreItem>
</file>

<file path=customXml/itemProps15.xml><?xml version="1.0" encoding="utf-8"?>
<ds:datastoreItem xmlns:ds="http://schemas.openxmlformats.org/officeDocument/2006/customXml" ds:itemID="{C65F7B7F-E0BC-440C-A25F-D9D241215D1E}">
  <ds:schemaRefs/>
</ds:datastoreItem>
</file>

<file path=customXml/itemProps16.xml><?xml version="1.0" encoding="utf-8"?>
<ds:datastoreItem xmlns:ds="http://schemas.openxmlformats.org/officeDocument/2006/customXml" ds:itemID="{6CAF62C6-7BE0-45D7-B764-CA849726DFE3}">
  <ds:schemaRefs/>
</ds:datastoreItem>
</file>

<file path=customXml/itemProps17.xml><?xml version="1.0" encoding="utf-8"?>
<ds:datastoreItem xmlns:ds="http://schemas.openxmlformats.org/officeDocument/2006/customXml" ds:itemID="{B4DAFFE4-896C-4940-B2B1-6FB5490CAD17}">
  <ds:schemaRefs/>
</ds:datastoreItem>
</file>

<file path=customXml/itemProps18.xml><?xml version="1.0" encoding="utf-8"?>
<ds:datastoreItem xmlns:ds="http://schemas.openxmlformats.org/officeDocument/2006/customXml" ds:itemID="{BBE4E28D-79CB-40BB-82DA-E772E05B9DF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Pivot Report</vt:lpstr>
      <vt:lpstr>Daily ER No. of patient</vt:lpstr>
      <vt:lpstr>Dashboard</vt:lpstr>
      <vt:lpstr>Satisfaction score daily trends</vt:lpstr>
      <vt:lpstr>Average wait time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kamrun nahar koli</dc:creator>
  <cp:lastModifiedBy>kamrun nahar koli</cp:lastModifiedBy>
  <dcterms:created xsi:type="dcterms:W3CDTF">2026-01-29T16:55:39Z</dcterms:created>
  <dcterms:modified xsi:type="dcterms:W3CDTF">2026-01-29T23:17:28Z</dcterms:modified>
</cp:coreProperties>
</file>